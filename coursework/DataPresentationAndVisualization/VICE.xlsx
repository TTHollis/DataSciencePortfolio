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Z1">
      <text>
        <t xml:space="preserve">CPD only provided data from Jan 2020 to June 2023 but didn't say why some months were omitted.</t>
      </text>
    </comment>
    <comment authorId="0" ref="K1">
      <text>
        <t xml:space="preserve">Only provided data from 2021</t>
      </text>
    </comment>
    <comment authorId="0" ref="GU1">
      <text>
        <t xml:space="preserve">Peoria PD only provided data through July 2023 for some reason</t>
      </text>
    </comment>
    <comment authorId="0" ref="AR1">
      <text>
        <t xml:space="preserve">Kia/Hyundai theft data was only provided beginning in February 2022 (it is possible the data includes January 2022 but there were no Kia/Hyundai thefts during that time but the results didn't specify)</t>
      </text>
    </comment>
    <comment authorId="0" ref="BY1">
      <text>
        <t xml:space="preserve">Data received from the public records request didn't include Kia/Hyundai thefts for Dec 2019-Feb 2020 for some reason.</t>
      </text>
    </comment>
    <comment authorId="0" ref="DF1">
      <text>
        <t xml:space="preserve">Data from 2021 onward because that is when they switched to NIBRS</t>
      </text>
    </comment>
    <comment authorId="0" ref="AU1">
      <text>
        <t xml:space="preserve">When we first reached out to San Antonio PD, we were provided with some preliminary data which they happened to have on hand and is reflected here. We filed a public records request for the total dataset which is still outstanding.</t>
      </text>
    </comment>
    <comment authorId="0" ref="FT1">
      <text>
        <t xml:space="preserve">NPD did not provide all vehicle theft data in response to the request. It has acknowledged the error and say they will send it to me soon.</t>
      </text>
    </comment>
    <comment authorId="0" ref="Q1">
      <text>
        <t xml:space="preserve">Virginia Beach PD only provided Kia/Hyundai thefts beginning in 2021 upon request. We were told we'd have to file a public records request for more detailed data, but Virginia has a residency requirement for public records requests. See: https://www.muckrock.com/place/united-states-of-america/virginia/</t>
      </text>
    </comment>
    <comment authorId="0" ref="EP1">
      <text>
        <t xml:space="preserve">Data provided for Nov 2020 to Aug 2023</t>
      </text>
    </comment>
    <comment authorId="0" ref="FZ1">
      <text>
        <t xml:space="preserve">Did not provide overall vehicle thefts. Doesn't appear to be an open data portal for the city of Miami on crime data. Need to circle back with them on that.</t>
      </text>
    </comment>
    <comment authorId="0" ref="BD1">
      <text>
        <t xml:space="preserve">Frisco provided us with total vehicle theft data but they said they cannot get theft data for specific makes without going manually through each individual record.</t>
      </text>
    </comment>
    <comment authorId="0" ref="EV1">
      <text>
        <t xml:space="preserve">SPPD provided Kia and Hyundai theft data for 2022 and Jan-July 2023.</t>
      </text>
    </comment>
    <comment authorId="0" ref="BG1">
      <text>
        <t xml:space="preserve">Total vehicle theft information is available via Lincoln's open data portal. 
After I filed my records request, the assistant city attorney for the City of Lincoln emailed me saying:
"Your public records request dated September 20, 2023, has been received by our office. Pursuant to the Nebraska Public Records Statutes production of a public record that is available on the City’s Website is not required. Monthly statistics can be found here: https://cjis.lincoln.ne.gov/~lpd/stats/public_stats.htm. Additional data can be reviewed on the City’s Open Data portal: https://opendata.lincoln.ne.gov/.
Investigation records regarding specific cases are being withheld pursuant to Neb. Rev. Stat. § 84-712.05(5)."
I replied that I believed this was response was in error as the data I seek is not available via the open data portal and a database pull does not constitute the creation of a new record but have yet to hear back.</t>
      </text>
    </comment>
    <comment authorId="0" ref="CQ1">
      <text>
        <t xml:space="preserve">We sought city-level data as often as possible, but many California cities directed Motherboard to the County Sheriff's office which keeps crime stat data.</t>
      </text>
    </comment>
  </commentList>
</comments>
</file>

<file path=xl/sharedStrings.xml><?xml version="1.0" encoding="utf-8"?>
<sst xmlns="http://schemas.openxmlformats.org/spreadsheetml/2006/main" count="314" uniqueCount="96">
  <si>
    <t>Denver</t>
  </si>
  <si>
    <t>El Paso</t>
  </si>
  <si>
    <t>Portland</t>
  </si>
  <si>
    <t>Atlanta</t>
  </si>
  <si>
    <t>Chicago</t>
  </si>
  <si>
    <t>Virginia Beach</t>
  </si>
  <si>
    <t>Louisville</t>
  </si>
  <si>
    <t>San Diego</t>
  </si>
  <si>
    <t>Sacramento</t>
  </si>
  <si>
    <t>Dallas</t>
  </si>
  <si>
    <t>Fort Worth</t>
  </si>
  <si>
    <t>Bakersfield</t>
  </si>
  <si>
    <t>Omaha, NE</t>
  </si>
  <si>
    <t>Lubbock, TX</t>
  </si>
  <si>
    <t>Fremont, CA</t>
  </si>
  <si>
    <t>San Antonio</t>
  </si>
  <si>
    <t>Irving, Texas</t>
  </si>
  <si>
    <t>Madison, WI</t>
  </si>
  <si>
    <t>Frisco, TX</t>
  </si>
  <si>
    <t>Lincoln, NE</t>
  </si>
  <si>
    <t>Wichita, KS</t>
  </si>
  <si>
    <t>Plano, TX</t>
  </si>
  <si>
    <t>Akron, OH</t>
  </si>
  <si>
    <t>Buffalo, NY</t>
  </si>
  <si>
    <t>Chula Vista, CA</t>
  </si>
  <si>
    <t>Reno, NV</t>
  </si>
  <si>
    <t>Oxnard, CA</t>
  </si>
  <si>
    <t>San Francisco</t>
  </si>
  <si>
    <t>McKinney, TX</t>
  </si>
  <si>
    <t>Arlington, TX</t>
  </si>
  <si>
    <t>Garland, TX</t>
  </si>
  <si>
    <t>Riverside County, CA</t>
  </si>
  <si>
    <t>Stockton, CA</t>
  </si>
  <si>
    <t>Corpus Cristi, TX</t>
  </si>
  <si>
    <t>Cincinatti</t>
  </si>
  <si>
    <t>Montgomery County, MD</t>
  </si>
  <si>
    <t>Henderson, NV</t>
  </si>
  <si>
    <t>San Bernardino, CA</t>
  </si>
  <si>
    <t>Newport News, VA</t>
  </si>
  <si>
    <t>Amarillo, TX</t>
  </si>
  <si>
    <t>New Haven, CT</t>
  </si>
  <si>
    <t>Washington, D.C.</t>
  </si>
  <si>
    <t>Boise, ID</t>
  </si>
  <si>
    <t>Austin, TX</t>
  </si>
  <si>
    <t>Chandler, AZ</t>
  </si>
  <si>
    <t>Modesto, CA</t>
  </si>
  <si>
    <t>San Jose, CA</t>
  </si>
  <si>
    <t>Aurora, IL</t>
  </si>
  <si>
    <t>Vancouver, WA</t>
  </si>
  <si>
    <t>Raleigh, NC</t>
  </si>
  <si>
    <t>St. Petersburg, FL</t>
  </si>
  <si>
    <t>Milwaukee, WI</t>
  </si>
  <si>
    <t>Los Angeles, CA</t>
  </si>
  <si>
    <t>Glendale, AZ</t>
  </si>
  <si>
    <t>Orlando, FL</t>
  </si>
  <si>
    <t>Eugene, OR</t>
  </si>
  <si>
    <t>Rochester, NY</t>
  </si>
  <si>
    <t>Durham, NC</t>
  </si>
  <si>
    <t>Norfolk, VA</t>
  </si>
  <si>
    <t>Pittsburgh, PA</t>
  </si>
  <si>
    <t>Miami, FL</t>
  </si>
  <si>
    <t>Spokane, WA</t>
  </si>
  <si>
    <t>Salt Lake City, UT</t>
  </si>
  <si>
    <t>Minneapolis, MN</t>
  </si>
  <si>
    <t>Anaheim, CA</t>
  </si>
  <si>
    <t>Providence, RI</t>
  </si>
  <si>
    <t>Syracuse, NY</t>
  </si>
  <si>
    <t>Peoria, AZ</t>
  </si>
  <si>
    <t>Houston, TX</t>
  </si>
  <si>
    <t>Prince George's County, MD</t>
  </si>
  <si>
    <t>Kia/Hyundais</t>
  </si>
  <si>
    <t>All</t>
  </si>
  <si>
    <t>Percent</t>
  </si>
  <si>
    <t xml:space="preserve">All </t>
  </si>
  <si>
    <t>3</t>
  </si>
  <si>
    <t>78</t>
  </si>
  <si>
    <t>7</t>
  </si>
  <si>
    <t>71</t>
  </si>
  <si>
    <t>4</t>
  </si>
  <si>
    <t>75</t>
  </si>
  <si>
    <t>70</t>
  </si>
  <si>
    <t>1</t>
  </si>
  <si>
    <t>56</t>
  </si>
  <si>
    <t>53</t>
  </si>
  <si>
    <t>81</t>
  </si>
  <si>
    <t>2</t>
  </si>
  <si>
    <t>90</t>
  </si>
  <si>
    <t>5</t>
  </si>
  <si>
    <t>93</t>
  </si>
  <si>
    <t>79</t>
  </si>
  <si>
    <t>57</t>
  </si>
  <si>
    <t>N/A</t>
  </si>
  <si>
    <t>73</t>
  </si>
  <si>
    <t>59</t>
  </si>
  <si>
    <t>46</t>
  </si>
  <si>
    <t>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</si>
</sst>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/&quot;yy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FFFFFF"/>
      </left>
      <top style="thick">
        <color rgb="FF6883A4"/>
      </top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center" vertical="bottom"/>
    </xf>
    <xf borderId="0" fillId="0" fontId="1" numFmtId="0" xfId="0" applyFont="1"/>
    <xf borderId="0" fillId="0" fontId="1" numFmtId="9" xfId="0" applyFont="1" applyNumberFormat="1"/>
    <xf borderId="0" fillId="0" fontId="1" numFmtId="1" xfId="0" applyFont="1" applyNumberFormat="1"/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1" fillId="2" fontId="1" numFmtId="0" xfId="0" applyAlignment="1" applyBorder="1" applyFill="1" applyFont="1">
      <alignment horizontal="right" vertical="bottom"/>
    </xf>
    <xf borderId="0" fillId="0" fontId="1" numFmtId="49" xfId="0" applyAlignment="1" applyFont="1" applyNumberFormat="1">
      <alignment horizontal="right" vertical="bottom"/>
    </xf>
    <xf borderId="2" fillId="2" fontId="1" numFmtId="0" xfId="0" applyAlignment="1" applyBorder="1" applyFont="1">
      <alignment horizontal="right" vertical="bottom"/>
    </xf>
    <xf borderId="0" fillId="0" fontId="1" numFmtId="3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  <c r="E1" s="2" t="s">
        <v>1</v>
      </c>
      <c r="H1" s="2" t="s">
        <v>2</v>
      </c>
      <c r="K1" s="2" t="s">
        <v>3</v>
      </c>
      <c r="N1" s="2" t="s">
        <v>4</v>
      </c>
      <c r="Q1" s="2" t="s">
        <v>5</v>
      </c>
      <c r="T1" s="2" t="s">
        <v>6</v>
      </c>
      <c r="W1" s="2" t="s">
        <v>7</v>
      </c>
      <c r="Z1" s="2" t="s">
        <v>8</v>
      </c>
      <c r="AC1" s="2" t="s">
        <v>9</v>
      </c>
      <c r="AF1" s="2" t="s">
        <v>10</v>
      </c>
      <c r="AI1" s="3" t="s">
        <v>11</v>
      </c>
      <c r="AL1" s="4" t="s">
        <v>12</v>
      </c>
      <c r="AO1" s="5" t="s">
        <v>13</v>
      </c>
      <c r="AR1" s="4" t="s">
        <v>14</v>
      </c>
      <c r="AU1" s="4" t="s">
        <v>15</v>
      </c>
      <c r="AX1" s="6" t="s">
        <v>16</v>
      </c>
      <c r="BA1" s="4" t="s">
        <v>17</v>
      </c>
      <c r="BD1" s="4" t="s">
        <v>18</v>
      </c>
      <c r="BG1" s="4" t="s">
        <v>19</v>
      </c>
      <c r="BJ1" s="5" t="s">
        <v>20</v>
      </c>
      <c r="BM1" s="7" t="s">
        <v>21</v>
      </c>
      <c r="BP1" s="4" t="s">
        <v>22</v>
      </c>
      <c r="BS1" s="4" t="s">
        <v>23</v>
      </c>
      <c r="BV1" s="5" t="s">
        <v>24</v>
      </c>
      <c r="BY1" s="4" t="s">
        <v>25</v>
      </c>
      <c r="CB1" s="5" t="s">
        <v>26</v>
      </c>
      <c r="CE1" s="5" t="s">
        <v>27</v>
      </c>
      <c r="CH1" s="5" t="s">
        <v>28</v>
      </c>
      <c r="CK1" s="5" t="s">
        <v>29</v>
      </c>
      <c r="CN1" s="5" t="s">
        <v>30</v>
      </c>
      <c r="CQ1" s="5" t="s">
        <v>31</v>
      </c>
      <c r="CT1" s="5" t="s">
        <v>32</v>
      </c>
      <c r="CW1" s="5" t="s">
        <v>33</v>
      </c>
      <c r="CZ1" s="5" t="s">
        <v>34</v>
      </c>
      <c r="DC1" s="5" t="s">
        <v>35</v>
      </c>
      <c r="DF1" s="5" t="s">
        <v>36</v>
      </c>
      <c r="DI1" s="5" t="s">
        <v>37</v>
      </c>
      <c r="DL1" s="5" t="s">
        <v>38</v>
      </c>
      <c r="DO1" s="5" t="s">
        <v>39</v>
      </c>
      <c r="DR1" s="5" t="s">
        <v>40</v>
      </c>
      <c r="DU1" s="5" t="s">
        <v>41</v>
      </c>
      <c r="DX1" s="4" t="s">
        <v>42</v>
      </c>
      <c r="EA1" s="4" t="s">
        <v>43</v>
      </c>
      <c r="ED1" s="5" t="s">
        <v>44</v>
      </c>
      <c r="EG1" s="5" t="s">
        <v>45</v>
      </c>
      <c r="EJ1" s="5" t="s">
        <v>46</v>
      </c>
      <c r="EM1" s="5" t="s">
        <v>47</v>
      </c>
      <c r="EP1" s="5" t="s">
        <v>48</v>
      </c>
      <c r="ES1" s="5" t="s">
        <v>49</v>
      </c>
      <c r="EV1" s="5" t="s">
        <v>50</v>
      </c>
      <c r="EY1" s="5" t="s">
        <v>51</v>
      </c>
      <c r="FB1" s="5" t="s">
        <v>52</v>
      </c>
      <c r="FE1" s="5" t="s">
        <v>53</v>
      </c>
      <c r="FH1" s="5" t="s">
        <v>54</v>
      </c>
      <c r="FK1" s="4" t="s">
        <v>55</v>
      </c>
      <c r="FN1" s="4" t="s">
        <v>56</v>
      </c>
      <c r="FQ1" s="4" t="s">
        <v>57</v>
      </c>
      <c r="FT1" s="4" t="s">
        <v>58</v>
      </c>
      <c r="FW1" s="4" t="s">
        <v>59</v>
      </c>
      <c r="FZ1" s="4" t="s">
        <v>60</v>
      </c>
      <c r="GC1" s="4" t="s">
        <v>61</v>
      </c>
      <c r="GF1" s="4" t="s">
        <v>62</v>
      </c>
      <c r="GI1" s="4" t="s">
        <v>63</v>
      </c>
      <c r="GL1" s="4" t="s">
        <v>64</v>
      </c>
      <c r="GO1" s="4" t="s">
        <v>65</v>
      </c>
      <c r="GR1" s="4" t="s">
        <v>66</v>
      </c>
      <c r="GU1" s="4" t="s">
        <v>67</v>
      </c>
      <c r="GX1" s="4" t="s">
        <v>68</v>
      </c>
      <c r="HA1" s="4" t="s">
        <v>69</v>
      </c>
      <c r="HD1" s="5"/>
      <c r="HE1" s="5"/>
      <c r="HF1" s="5"/>
    </row>
    <row r="2" ht="15.75" customHeight="1">
      <c r="A2" s="1"/>
      <c r="B2" s="8" t="s">
        <v>70</v>
      </c>
      <c r="C2" s="8" t="s">
        <v>71</v>
      </c>
      <c r="D2" s="9" t="s">
        <v>72</v>
      </c>
      <c r="E2" s="8" t="s">
        <v>70</v>
      </c>
      <c r="F2" s="8" t="s">
        <v>71</v>
      </c>
      <c r="G2" s="9" t="s">
        <v>72</v>
      </c>
      <c r="H2" s="8" t="s">
        <v>70</v>
      </c>
      <c r="I2" s="8" t="s">
        <v>71</v>
      </c>
      <c r="J2" s="9" t="s">
        <v>72</v>
      </c>
      <c r="K2" s="8" t="s">
        <v>70</v>
      </c>
      <c r="L2" s="8" t="s">
        <v>71</v>
      </c>
      <c r="M2" s="9" t="s">
        <v>72</v>
      </c>
      <c r="N2" s="8" t="s">
        <v>70</v>
      </c>
      <c r="O2" s="8" t="s">
        <v>71</v>
      </c>
      <c r="P2" s="9" t="s">
        <v>72</v>
      </c>
      <c r="Q2" s="8" t="s">
        <v>70</v>
      </c>
      <c r="R2" s="8" t="s">
        <v>71</v>
      </c>
      <c r="S2" s="9" t="s">
        <v>72</v>
      </c>
      <c r="T2" s="8" t="s">
        <v>70</v>
      </c>
      <c r="U2" s="8" t="s">
        <v>71</v>
      </c>
      <c r="V2" s="9" t="s">
        <v>72</v>
      </c>
      <c r="W2" s="8" t="s">
        <v>70</v>
      </c>
      <c r="X2" s="8" t="s">
        <v>71</v>
      </c>
      <c r="Y2" s="9" t="s">
        <v>72</v>
      </c>
      <c r="Z2" s="8" t="s">
        <v>70</v>
      </c>
      <c r="AA2" s="8" t="s">
        <v>71</v>
      </c>
      <c r="AB2" s="9" t="s">
        <v>72</v>
      </c>
      <c r="AC2" s="8" t="s">
        <v>70</v>
      </c>
      <c r="AD2" s="8" t="s">
        <v>71</v>
      </c>
      <c r="AE2" s="9" t="s">
        <v>72</v>
      </c>
      <c r="AF2" s="8" t="s">
        <v>70</v>
      </c>
      <c r="AG2" s="8" t="s">
        <v>71</v>
      </c>
      <c r="AH2" s="9" t="s">
        <v>72</v>
      </c>
      <c r="AI2" s="10" t="s">
        <v>70</v>
      </c>
      <c r="AJ2" s="8" t="s">
        <v>71</v>
      </c>
      <c r="AK2" s="9" t="s">
        <v>72</v>
      </c>
      <c r="AL2" s="11" t="s">
        <v>70</v>
      </c>
      <c r="AM2" s="12" t="s">
        <v>71</v>
      </c>
      <c r="AN2" s="13" t="s">
        <v>72</v>
      </c>
      <c r="AO2" s="14" t="s">
        <v>70</v>
      </c>
      <c r="AP2" s="14" t="s">
        <v>71</v>
      </c>
      <c r="AQ2" s="13" t="s">
        <v>72</v>
      </c>
      <c r="AR2" s="14" t="s">
        <v>70</v>
      </c>
      <c r="AS2" s="14" t="s">
        <v>71</v>
      </c>
      <c r="AT2" s="13" t="s">
        <v>72</v>
      </c>
      <c r="AU2" s="14" t="s">
        <v>70</v>
      </c>
      <c r="AV2" s="14" t="s">
        <v>71</v>
      </c>
      <c r="AW2" s="13" t="s">
        <v>72</v>
      </c>
      <c r="AX2" s="15" t="s">
        <v>70</v>
      </c>
      <c r="AY2" s="15" t="s">
        <v>71</v>
      </c>
      <c r="AZ2" s="13" t="s">
        <v>72</v>
      </c>
      <c r="BA2" s="12" t="s">
        <v>70</v>
      </c>
      <c r="BB2" s="12" t="s">
        <v>71</v>
      </c>
      <c r="BC2" s="13" t="s">
        <v>72</v>
      </c>
      <c r="BD2" s="12" t="s">
        <v>70</v>
      </c>
      <c r="BE2" s="12" t="s">
        <v>73</v>
      </c>
      <c r="BF2" s="13" t="s">
        <v>72</v>
      </c>
      <c r="BG2" s="12" t="s">
        <v>70</v>
      </c>
      <c r="BH2" s="14" t="s">
        <v>73</v>
      </c>
      <c r="BI2" s="13" t="s">
        <v>72</v>
      </c>
      <c r="BJ2" s="14" t="s">
        <v>70</v>
      </c>
      <c r="BK2" s="14" t="s">
        <v>73</v>
      </c>
      <c r="BL2" s="13" t="s">
        <v>72</v>
      </c>
      <c r="BM2" s="11" t="s">
        <v>70</v>
      </c>
      <c r="BN2" s="11" t="s">
        <v>73</v>
      </c>
      <c r="BO2" s="13" t="s">
        <v>72</v>
      </c>
      <c r="BP2" s="12" t="s">
        <v>70</v>
      </c>
      <c r="BQ2" s="12" t="s">
        <v>73</v>
      </c>
      <c r="BR2" s="13" t="s">
        <v>72</v>
      </c>
      <c r="BS2" s="12" t="s">
        <v>70</v>
      </c>
      <c r="BT2" s="12" t="s">
        <v>73</v>
      </c>
      <c r="BU2" s="13" t="s">
        <v>72</v>
      </c>
      <c r="BV2" s="14" t="s">
        <v>70</v>
      </c>
      <c r="BW2" s="14" t="s">
        <v>73</v>
      </c>
      <c r="BX2" s="13" t="s">
        <v>72</v>
      </c>
      <c r="BY2" s="12" t="s">
        <v>70</v>
      </c>
      <c r="BZ2" s="12" t="s">
        <v>73</v>
      </c>
      <c r="CA2" s="13" t="s">
        <v>72</v>
      </c>
      <c r="CB2" s="14" t="s">
        <v>70</v>
      </c>
      <c r="CC2" s="14" t="s">
        <v>73</v>
      </c>
      <c r="CD2" s="13" t="s">
        <v>72</v>
      </c>
      <c r="CE2" s="14" t="s">
        <v>70</v>
      </c>
      <c r="CF2" s="14" t="s">
        <v>73</v>
      </c>
      <c r="CG2" s="13" t="s">
        <v>72</v>
      </c>
      <c r="CH2" s="14" t="s">
        <v>70</v>
      </c>
      <c r="CI2" s="14" t="s">
        <v>73</v>
      </c>
      <c r="CJ2" s="13" t="s">
        <v>72</v>
      </c>
      <c r="CK2" s="14" t="s">
        <v>70</v>
      </c>
      <c r="CL2" s="14" t="s">
        <v>73</v>
      </c>
      <c r="CM2" s="13" t="s">
        <v>72</v>
      </c>
      <c r="CN2" s="14" t="s">
        <v>70</v>
      </c>
      <c r="CO2" s="14" t="s">
        <v>73</v>
      </c>
      <c r="CP2" s="13" t="s">
        <v>72</v>
      </c>
      <c r="CQ2" s="14" t="s">
        <v>70</v>
      </c>
      <c r="CR2" s="14" t="s">
        <v>73</v>
      </c>
      <c r="CS2" s="13" t="s">
        <v>72</v>
      </c>
      <c r="CT2" s="14" t="s">
        <v>70</v>
      </c>
      <c r="CU2" s="14" t="s">
        <v>73</v>
      </c>
      <c r="CV2" s="13" t="s">
        <v>72</v>
      </c>
      <c r="CW2" s="14" t="s">
        <v>70</v>
      </c>
      <c r="CX2" s="14" t="s">
        <v>73</v>
      </c>
      <c r="CY2" s="13" t="s">
        <v>72</v>
      </c>
      <c r="CZ2" s="14" t="s">
        <v>70</v>
      </c>
      <c r="DA2" s="14" t="s">
        <v>73</v>
      </c>
      <c r="DB2" s="13" t="s">
        <v>72</v>
      </c>
      <c r="DC2" s="14" t="s">
        <v>70</v>
      </c>
      <c r="DD2" s="14" t="s">
        <v>73</v>
      </c>
      <c r="DE2" s="13" t="s">
        <v>72</v>
      </c>
      <c r="DF2" s="14" t="s">
        <v>70</v>
      </c>
      <c r="DG2" s="14" t="s">
        <v>73</v>
      </c>
      <c r="DH2" s="13" t="s">
        <v>72</v>
      </c>
      <c r="DI2" s="14" t="s">
        <v>70</v>
      </c>
      <c r="DJ2" s="14" t="s">
        <v>73</v>
      </c>
      <c r="DK2" s="13" t="s">
        <v>72</v>
      </c>
      <c r="DL2" s="14" t="s">
        <v>70</v>
      </c>
      <c r="DM2" s="14" t="s">
        <v>73</v>
      </c>
      <c r="DN2" s="13" t="s">
        <v>72</v>
      </c>
      <c r="DO2" s="14" t="s">
        <v>70</v>
      </c>
      <c r="DP2" s="14" t="s">
        <v>73</v>
      </c>
      <c r="DQ2" s="13" t="s">
        <v>72</v>
      </c>
      <c r="DR2" s="14" t="s">
        <v>70</v>
      </c>
      <c r="DS2" s="14" t="s">
        <v>73</v>
      </c>
      <c r="DT2" s="13" t="s">
        <v>72</v>
      </c>
      <c r="DU2" s="14" t="s">
        <v>70</v>
      </c>
      <c r="DV2" s="14" t="s">
        <v>73</v>
      </c>
      <c r="DW2" s="13" t="s">
        <v>72</v>
      </c>
      <c r="DX2" s="12" t="s">
        <v>70</v>
      </c>
      <c r="DY2" s="12" t="s">
        <v>73</v>
      </c>
      <c r="DZ2" s="13" t="s">
        <v>72</v>
      </c>
      <c r="EA2" s="12" t="s">
        <v>70</v>
      </c>
      <c r="EB2" s="12" t="s">
        <v>73</v>
      </c>
      <c r="EC2" s="13" t="s">
        <v>72</v>
      </c>
      <c r="ED2" s="14" t="s">
        <v>70</v>
      </c>
      <c r="EE2" s="14" t="s">
        <v>73</v>
      </c>
      <c r="EF2" s="13" t="s">
        <v>72</v>
      </c>
      <c r="EG2" s="14" t="s">
        <v>70</v>
      </c>
      <c r="EH2" s="14" t="s">
        <v>73</v>
      </c>
      <c r="EI2" s="13" t="s">
        <v>72</v>
      </c>
      <c r="EJ2" s="14" t="s">
        <v>70</v>
      </c>
      <c r="EK2" s="14" t="s">
        <v>73</v>
      </c>
      <c r="EL2" s="13" t="s">
        <v>72</v>
      </c>
      <c r="EM2" s="14" t="s">
        <v>70</v>
      </c>
      <c r="EN2" s="14" t="s">
        <v>73</v>
      </c>
      <c r="EO2" s="13" t="s">
        <v>72</v>
      </c>
      <c r="EP2" s="14" t="s">
        <v>70</v>
      </c>
      <c r="EQ2" s="14" t="s">
        <v>73</v>
      </c>
      <c r="ER2" s="13" t="s">
        <v>72</v>
      </c>
      <c r="ES2" s="14" t="s">
        <v>70</v>
      </c>
      <c r="ET2" s="14" t="s">
        <v>73</v>
      </c>
      <c r="EU2" s="13" t="s">
        <v>72</v>
      </c>
      <c r="EV2" s="14" t="s">
        <v>70</v>
      </c>
      <c r="EW2" s="14" t="s">
        <v>73</v>
      </c>
      <c r="EX2" s="13" t="s">
        <v>72</v>
      </c>
      <c r="EY2" s="14" t="s">
        <v>70</v>
      </c>
      <c r="EZ2" s="14" t="s">
        <v>73</v>
      </c>
      <c r="FA2" s="13" t="s">
        <v>72</v>
      </c>
      <c r="FB2" s="14" t="s">
        <v>70</v>
      </c>
      <c r="FC2" s="14" t="s">
        <v>73</v>
      </c>
      <c r="FD2" s="13" t="s">
        <v>72</v>
      </c>
      <c r="FE2" s="14" t="s">
        <v>70</v>
      </c>
      <c r="FF2" s="14" t="s">
        <v>73</v>
      </c>
      <c r="FG2" s="13" t="s">
        <v>72</v>
      </c>
      <c r="FH2" s="14" t="s">
        <v>70</v>
      </c>
      <c r="FI2" s="14" t="s">
        <v>73</v>
      </c>
      <c r="FJ2" s="13" t="s">
        <v>72</v>
      </c>
      <c r="FK2" s="12" t="s">
        <v>70</v>
      </c>
      <c r="FL2" s="14" t="s">
        <v>73</v>
      </c>
      <c r="FM2" s="13" t="s">
        <v>72</v>
      </c>
      <c r="FN2" s="12" t="s">
        <v>70</v>
      </c>
      <c r="FO2" s="14" t="s">
        <v>73</v>
      </c>
      <c r="FP2" s="13" t="s">
        <v>72</v>
      </c>
      <c r="FQ2" s="12" t="s">
        <v>70</v>
      </c>
      <c r="FR2" s="14" t="s">
        <v>73</v>
      </c>
      <c r="FS2" s="13" t="s">
        <v>72</v>
      </c>
      <c r="FT2" s="12" t="s">
        <v>70</v>
      </c>
      <c r="FU2" s="14" t="s">
        <v>73</v>
      </c>
      <c r="FV2" s="13" t="s">
        <v>72</v>
      </c>
      <c r="FW2" s="12" t="s">
        <v>70</v>
      </c>
      <c r="FX2" s="14" t="s">
        <v>73</v>
      </c>
      <c r="FY2" s="13" t="s">
        <v>72</v>
      </c>
      <c r="FZ2" s="12" t="s">
        <v>70</v>
      </c>
      <c r="GA2" s="14" t="s">
        <v>73</v>
      </c>
      <c r="GB2" s="13" t="s">
        <v>72</v>
      </c>
      <c r="GC2" s="12" t="s">
        <v>70</v>
      </c>
      <c r="GD2" s="12" t="s">
        <v>73</v>
      </c>
      <c r="GE2" s="13" t="s">
        <v>72</v>
      </c>
      <c r="GF2" s="12" t="s">
        <v>70</v>
      </c>
      <c r="GG2" s="12" t="s">
        <v>73</v>
      </c>
      <c r="GH2" s="13" t="s">
        <v>72</v>
      </c>
      <c r="GI2" s="12" t="s">
        <v>70</v>
      </c>
      <c r="GJ2" s="12" t="s">
        <v>73</v>
      </c>
      <c r="GK2" s="13" t="s">
        <v>72</v>
      </c>
      <c r="GL2" s="12" t="s">
        <v>70</v>
      </c>
      <c r="GM2" s="12" t="s">
        <v>73</v>
      </c>
      <c r="GN2" s="13" t="s">
        <v>72</v>
      </c>
      <c r="GO2" s="12" t="s">
        <v>70</v>
      </c>
      <c r="GP2" s="12" t="s">
        <v>73</v>
      </c>
      <c r="GQ2" s="13" t="s">
        <v>72</v>
      </c>
      <c r="GR2" s="12" t="s">
        <v>70</v>
      </c>
      <c r="GS2" s="12" t="s">
        <v>73</v>
      </c>
      <c r="GT2" s="12" t="s">
        <v>72</v>
      </c>
      <c r="GU2" s="12" t="s">
        <v>70</v>
      </c>
      <c r="GV2" s="12" t="s">
        <v>73</v>
      </c>
      <c r="GW2" s="12" t="s">
        <v>72</v>
      </c>
      <c r="GX2" s="12" t="s">
        <v>70</v>
      </c>
      <c r="GY2" s="12" t="s">
        <v>73</v>
      </c>
      <c r="GZ2" s="12" t="s">
        <v>72</v>
      </c>
      <c r="HA2" s="12" t="s">
        <v>70</v>
      </c>
      <c r="HB2" s="12" t="s">
        <v>73</v>
      </c>
      <c r="HC2" s="13" t="s">
        <v>72</v>
      </c>
      <c r="HD2" s="13"/>
      <c r="HE2" s="13"/>
      <c r="HF2" s="13"/>
    </row>
    <row r="3" ht="15.75" customHeight="1">
      <c r="A3" s="1">
        <v>43800.0</v>
      </c>
      <c r="B3" s="8">
        <v>48.0</v>
      </c>
      <c r="C3" s="8">
        <v>615.0</v>
      </c>
      <c r="D3" s="9">
        <f t="shared" ref="D3:D46" si="1">B3/C3</f>
        <v>0.07804878049</v>
      </c>
      <c r="E3" s="8">
        <v>13.0</v>
      </c>
      <c r="F3" s="8">
        <v>103.0</v>
      </c>
      <c r="G3" s="9">
        <f t="shared" ref="G3:G47" si="2">E3/F3</f>
        <v>0.1262135922</v>
      </c>
      <c r="H3" s="8">
        <v>13.0</v>
      </c>
      <c r="I3" s="8">
        <v>592.0</v>
      </c>
      <c r="J3" s="9">
        <f t="shared" ref="J3:J46" si="3">H3/I3</f>
        <v>0.02195945946</v>
      </c>
      <c r="M3" s="9"/>
      <c r="N3" s="8">
        <v>46.0</v>
      </c>
      <c r="O3" s="8">
        <v>767.0</v>
      </c>
      <c r="P3" s="9">
        <f t="shared" ref="P3:P47" si="4">N3/O3</f>
        <v>0.05997392438</v>
      </c>
      <c r="T3" s="8">
        <v>14.0</v>
      </c>
      <c r="V3" s="9"/>
      <c r="W3" s="8">
        <v>25.0</v>
      </c>
      <c r="X3" s="8">
        <v>430.0</v>
      </c>
      <c r="Y3" s="9">
        <f t="shared" ref="Y3:Y47" si="5">W3/X3</f>
        <v>0.05813953488</v>
      </c>
      <c r="Z3" s="8">
        <v>2.0</v>
      </c>
      <c r="AB3" s="9"/>
      <c r="AC3" s="8">
        <v>21.0</v>
      </c>
      <c r="AE3" s="9"/>
      <c r="AF3" s="8">
        <v>12.0</v>
      </c>
      <c r="AG3" s="8">
        <v>352.0</v>
      </c>
      <c r="AH3" s="9">
        <f t="shared" ref="AH3:AH47" si="6">AF3/AG3</f>
        <v>0.03409090909</v>
      </c>
      <c r="AI3" s="10">
        <v>9.0</v>
      </c>
      <c r="AJ3" s="8">
        <v>360.0</v>
      </c>
      <c r="AK3" s="9">
        <f t="shared" ref="AK3:AK47" si="7">AI3/AJ3</f>
        <v>0.025</v>
      </c>
      <c r="AL3" s="16">
        <v>11.0</v>
      </c>
      <c r="AM3" s="16">
        <v>277.0</v>
      </c>
      <c r="AN3" s="17">
        <f t="shared" ref="AN3:AN47" si="8">AL3/AM3</f>
        <v>0.03971119134</v>
      </c>
      <c r="AO3" s="18">
        <v>6.0</v>
      </c>
      <c r="AP3" s="18">
        <v>130.0</v>
      </c>
      <c r="AQ3" s="17">
        <f t="shared" ref="AQ3:AQ47" si="9">AO3/AP3</f>
        <v>0.04615384615</v>
      </c>
      <c r="AR3" s="17"/>
      <c r="AS3" s="16">
        <v>39.0</v>
      </c>
      <c r="AT3" s="17"/>
      <c r="AU3" s="17"/>
      <c r="AV3" s="17"/>
      <c r="AW3" s="17"/>
      <c r="AX3" s="16">
        <v>2.0</v>
      </c>
      <c r="AY3" s="16">
        <v>58.0</v>
      </c>
      <c r="AZ3" s="17">
        <f t="shared" ref="AZ3:AZ47" si="10">AX3/AY3</f>
        <v>0.03448275862</v>
      </c>
      <c r="BA3" s="16">
        <v>4.0</v>
      </c>
      <c r="BB3" s="16">
        <v>83.0</v>
      </c>
      <c r="BC3" s="17">
        <f t="shared" ref="BC3:BC47" si="11">BA3/BB3</f>
        <v>0.04819277108</v>
      </c>
      <c r="BD3" s="17"/>
      <c r="BE3" s="16">
        <v>12.0</v>
      </c>
      <c r="BF3" s="17"/>
      <c r="BG3" s="17"/>
      <c r="BH3" s="18">
        <v>28.0</v>
      </c>
      <c r="BI3" s="17"/>
      <c r="BJ3" s="18">
        <v>3.0</v>
      </c>
      <c r="BK3" s="18">
        <v>182.0</v>
      </c>
      <c r="BL3" s="17">
        <f t="shared" ref="BL3:BL47" si="12">BJ3/BK3</f>
        <v>0.01648351648</v>
      </c>
      <c r="BM3" s="19">
        <v>3.0</v>
      </c>
      <c r="BN3" s="19">
        <v>64.0</v>
      </c>
      <c r="BO3" s="17">
        <f t="shared" ref="BO3:BO47" si="13">BM3/BN3</f>
        <v>0.046875</v>
      </c>
      <c r="BP3" s="16">
        <v>9.0</v>
      </c>
      <c r="BQ3" s="16">
        <v>67.0</v>
      </c>
      <c r="BR3" s="17">
        <f t="shared" ref="BR3:BR47" si="14">BP3/BQ3</f>
        <v>0.1343283582</v>
      </c>
      <c r="BS3" s="16">
        <v>7.0</v>
      </c>
      <c r="BT3" s="16">
        <v>107.0</v>
      </c>
      <c r="BU3" s="17">
        <f t="shared" ref="BU3:BU47" si="15">BS3/BT3</f>
        <v>0.06542056075</v>
      </c>
      <c r="BV3" s="18">
        <v>6.0</v>
      </c>
      <c r="BW3" s="18">
        <v>77.0</v>
      </c>
      <c r="BX3" s="17">
        <f t="shared" ref="BX3:BX47" si="16">BV3/BW3</f>
        <v>0.07792207792</v>
      </c>
      <c r="BY3" s="16"/>
      <c r="BZ3" s="16">
        <v>82.0</v>
      </c>
      <c r="CA3" s="17"/>
      <c r="CB3" s="18">
        <v>1.0</v>
      </c>
      <c r="CC3" s="18">
        <v>48.0</v>
      </c>
      <c r="CD3" s="17">
        <f t="shared" ref="CD3:CD47" si="17">CB3/CC3</f>
        <v>0.02083333333</v>
      </c>
      <c r="CE3" s="16">
        <v>11.0</v>
      </c>
      <c r="CF3" s="8">
        <v>312.0</v>
      </c>
      <c r="CG3" s="17">
        <f t="shared" ref="CG3:CG47" si="18">CE3/CF3</f>
        <v>0.03525641026</v>
      </c>
      <c r="CH3" s="16">
        <v>0.0</v>
      </c>
      <c r="CI3" s="16">
        <v>17.0</v>
      </c>
      <c r="CJ3" s="17">
        <f t="shared" ref="CJ3:CJ47" si="19">CH3/CI3</f>
        <v>0</v>
      </c>
      <c r="CK3" s="16">
        <v>8.0</v>
      </c>
      <c r="CL3" s="16">
        <v>101.0</v>
      </c>
      <c r="CM3" s="17">
        <f t="shared" ref="CM3:CM47" si="20">CK3/CL3</f>
        <v>0.07920792079</v>
      </c>
      <c r="CN3" s="16">
        <v>3.0</v>
      </c>
      <c r="CO3" s="16">
        <v>112.0</v>
      </c>
      <c r="CP3" s="17">
        <f t="shared" ref="CP3:CP47" si="21">CN3/CO3</f>
        <v>0.02678571429</v>
      </c>
      <c r="CQ3" s="16">
        <v>11.0</v>
      </c>
      <c r="CR3" s="16">
        <v>594.0</v>
      </c>
      <c r="CS3" s="17">
        <f t="shared" ref="CS3:CS47" si="22">CQ3/CR3</f>
        <v>0.01851851852</v>
      </c>
      <c r="CT3" s="16">
        <v>3.0</v>
      </c>
      <c r="CU3" s="16">
        <v>119.0</v>
      </c>
      <c r="CV3" s="17">
        <f t="shared" ref="CV3:CV47" si="23">CT3/CU3</f>
        <v>0.02521008403</v>
      </c>
      <c r="CW3" s="16">
        <v>1.0</v>
      </c>
      <c r="CX3" s="16">
        <v>48.0</v>
      </c>
      <c r="CY3" s="17">
        <f t="shared" ref="CY3:CY47" si="24">CW3/CX3</f>
        <v>0.02083333333</v>
      </c>
      <c r="CZ3" s="16"/>
      <c r="DA3" s="16"/>
      <c r="DB3" s="17"/>
      <c r="DC3" s="16">
        <v>2.0</v>
      </c>
      <c r="DD3" s="16">
        <v>52.0</v>
      </c>
      <c r="DE3" s="17">
        <f t="shared" ref="DE3:DE47" si="25">DC3/DD3</f>
        <v>0.03846153846</v>
      </c>
      <c r="DF3" s="16"/>
      <c r="DG3" s="16"/>
      <c r="DH3" s="17"/>
      <c r="DI3" s="16">
        <v>5.0</v>
      </c>
      <c r="DJ3" s="16">
        <v>217.0</v>
      </c>
      <c r="DK3" s="17">
        <f t="shared" ref="DK3:DK47" si="26">DI3/DJ3</f>
        <v>0.02304147465</v>
      </c>
      <c r="DL3" s="16">
        <v>2.0</v>
      </c>
      <c r="DM3" s="16">
        <v>21.0</v>
      </c>
      <c r="DN3" s="17">
        <f t="shared" ref="DN3:DN47" si="27">DL3/DM3</f>
        <v>0.09523809524</v>
      </c>
      <c r="DO3" s="16">
        <v>1.0</v>
      </c>
      <c r="DP3" s="16">
        <v>92.0</v>
      </c>
      <c r="DQ3" s="17">
        <f t="shared" ref="DQ3:DQ47" si="28">DO3/DP3</f>
        <v>0.01086956522</v>
      </c>
      <c r="DR3" s="16">
        <v>6.0</v>
      </c>
      <c r="DS3" s="16">
        <v>106.0</v>
      </c>
      <c r="DT3" s="17">
        <f t="shared" ref="DT3:DT47" si="29">DR3/DS3</f>
        <v>0.05660377358</v>
      </c>
      <c r="DU3" s="16">
        <v>4.0</v>
      </c>
      <c r="DV3" s="16"/>
      <c r="DW3" s="17"/>
      <c r="DX3" s="16">
        <v>3.0</v>
      </c>
      <c r="DY3" s="16">
        <v>20.0</v>
      </c>
      <c r="DZ3" s="17">
        <f t="shared" ref="DZ3:DZ47" si="30">DX3/DY3</f>
        <v>0.15</v>
      </c>
      <c r="EA3" s="20">
        <v>10.0</v>
      </c>
      <c r="EB3" s="16">
        <v>289.0</v>
      </c>
      <c r="EC3" s="17">
        <f t="shared" ref="EC3:EC47" si="31">EA3/EB3</f>
        <v>0.03460207612</v>
      </c>
      <c r="ED3" s="16">
        <v>2.0</v>
      </c>
      <c r="EE3" s="16">
        <v>25.0</v>
      </c>
      <c r="EF3" s="17">
        <f t="shared" ref="EF3:EF47" si="32">ED3/EE3</f>
        <v>0.08</v>
      </c>
      <c r="EG3" s="16">
        <v>5.0</v>
      </c>
      <c r="EH3" s="16">
        <v>118.0</v>
      </c>
      <c r="EI3" s="17">
        <f t="shared" ref="EI3:EI47" si="33">EG3/EH3</f>
        <v>0.04237288136</v>
      </c>
      <c r="EJ3" s="16">
        <v>6.0</v>
      </c>
      <c r="EK3" s="16">
        <v>525.0</v>
      </c>
      <c r="EL3" s="17">
        <f t="shared" ref="EL3:EL47" si="34">EJ3/EK3</f>
        <v>0.01142857143</v>
      </c>
      <c r="EM3" s="16">
        <v>1.0</v>
      </c>
      <c r="EN3" s="16">
        <v>12.0</v>
      </c>
      <c r="EO3" s="17">
        <f t="shared" ref="EO3:EO47" si="35">EM3/EN3</f>
        <v>0.08333333333</v>
      </c>
      <c r="EP3" s="16"/>
      <c r="EQ3" s="16"/>
      <c r="ER3" s="17"/>
      <c r="ES3" s="16">
        <v>5.0</v>
      </c>
      <c r="ET3" s="16">
        <v>89.0</v>
      </c>
      <c r="EU3" s="17">
        <f t="shared" ref="EU3:EU47" si="36">ES3/ET3</f>
        <v>0.05617977528</v>
      </c>
      <c r="EV3" s="16"/>
      <c r="EW3" s="16">
        <v>66.0</v>
      </c>
      <c r="EX3" s="17"/>
      <c r="EY3" s="16">
        <v>22.0</v>
      </c>
      <c r="EZ3" s="16">
        <v>339.0</v>
      </c>
      <c r="FA3" s="17">
        <f t="shared" ref="FA3:FA47" si="37">EY3/EZ3</f>
        <v>0.06489675516</v>
      </c>
      <c r="FB3" s="16">
        <v>53.0</v>
      </c>
      <c r="FC3" s="8">
        <v>1409.0</v>
      </c>
      <c r="FD3" s="17">
        <f t="shared" ref="FD3:FD46" si="38">FB3/FC4</f>
        <v>0.03761533002</v>
      </c>
      <c r="FE3" s="8">
        <v>9.0</v>
      </c>
      <c r="FF3" s="16">
        <v>134.0</v>
      </c>
      <c r="FG3" s="17">
        <f t="shared" ref="FG3:FG47" si="39">FE3/FF3</f>
        <v>0.0671641791</v>
      </c>
      <c r="FH3" s="16">
        <v>14.0</v>
      </c>
      <c r="FI3" s="16">
        <v>109.0</v>
      </c>
      <c r="FJ3" s="17">
        <f t="shared" ref="FJ3:FJ47" si="40">FH3/FI3</f>
        <v>0.128440367</v>
      </c>
      <c r="FK3" s="16">
        <v>1.0</v>
      </c>
      <c r="FL3" s="16">
        <v>94.0</v>
      </c>
      <c r="FM3" s="17">
        <f t="shared" ref="FM3:FM47" si="41">FK3/FL3</f>
        <v>0.01063829787</v>
      </c>
      <c r="FN3" s="16">
        <v>3.0</v>
      </c>
      <c r="FO3" s="16">
        <v>64.0</v>
      </c>
      <c r="FP3" s="17">
        <f t="shared" ref="FP3:FP47" si="42">FN3/FO3</f>
        <v>0.046875</v>
      </c>
      <c r="FQ3" s="16">
        <v>5.0</v>
      </c>
      <c r="FR3" s="16">
        <v>79.0</v>
      </c>
      <c r="FS3" s="17">
        <f t="shared" ref="FS3:FS47" si="43">FQ3/FR3</f>
        <v>0.06329113924</v>
      </c>
      <c r="FT3" s="16">
        <v>11.0</v>
      </c>
      <c r="FU3" s="16"/>
      <c r="FV3" s="16"/>
      <c r="FW3" s="16">
        <v>9.0</v>
      </c>
      <c r="FX3" s="16">
        <v>34.0</v>
      </c>
      <c r="FY3" s="17">
        <f t="shared" ref="FY3:FY47" si="44">FW3/FX3</f>
        <v>0.2647058824</v>
      </c>
      <c r="FZ3" s="8">
        <v>0.0</v>
      </c>
      <c r="GA3" s="16"/>
      <c r="GB3" s="16"/>
      <c r="GC3" s="16">
        <v>1.0</v>
      </c>
      <c r="GD3" s="16">
        <v>126.0</v>
      </c>
      <c r="GE3" s="17">
        <f t="shared" ref="GE3:GE47" si="45">GC3/GD3</f>
        <v>0.007936507937</v>
      </c>
      <c r="GF3" s="16">
        <v>6.0</v>
      </c>
      <c r="GG3" s="16">
        <v>117.0</v>
      </c>
      <c r="GH3" s="17">
        <f t="shared" ref="GH3:GH47" si="46">GF3/GG3</f>
        <v>0.05128205128</v>
      </c>
      <c r="GI3" s="16">
        <v>22.0</v>
      </c>
      <c r="GJ3" s="16">
        <v>326.0</v>
      </c>
      <c r="GK3" s="17">
        <f t="shared" ref="GK3:GK47" si="47">GI3/GJ3</f>
        <v>0.06748466258</v>
      </c>
      <c r="GL3" s="16">
        <v>0.0</v>
      </c>
      <c r="GM3" s="16">
        <v>18.0</v>
      </c>
      <c r="GN3" s="17">
        <f t="shared" ref="GN3:GN14" si="48">GL3/GM3</f>
        <v>0</v>
      </c>
      <c r="GO3" s="16">
        <v>1.0</v>
      </c>
      <c r="GP3" s="16">
        <v>14.0</v>
      </c>
      <c r="GQ3" s="17">
        <f t="shared" ref="GQ3:GQ47" si="49">GO3/GP3</f>
        <v>0.07142857143</v>
      </c>
      <c r="GR3" s="16">
        <v>2.0</v>
      </c>
      <c r="GS3" s="16">
        <v>36.0</v>
      </c>
      <c r="GT3" s="17">
        <f t="shared" ref="GT3:GT47" si="50">GR3/GS3</f>
        <v>0.05555555556</v>
      </c>
      <c r="GU3" s="8">
        <v>2.0</v>
      </c>
      <c r="GV3" s="16">
        <v>27.0</v>
      </c>
      <c r="GW3" s="17">
        <f t="shared" ref="GW3:GW46" si="51">GU3/GV3</f>
        <v>0.07407407407</v>
      </c>
      <c r="GX3" s="16">
        <v>24.0</v>
      </c>
      <c r="GY3" s="8">
        <v>603.0</v>
      </c>
      <c r="GZ3" s="16"/>
      <c r="HA3" s="16">
        <v>11.0</v>
      </c>
      <c r="HB3" s="16">
        <v>210.0</v>
      </c>
      <c r="HC3" s="17">
        <f t="shared" ref="HC3:HC47" si="52">HA3/HB3</f>
        <v>0.05238095238</v>
      </c>
      <c r="HD3" s="16"/>
      <c r="HE3" s="16"/>
      <c r="HF3" s="16"/>
    </row>
    <row r="4" ht="15.75" customHeight="1">
      <c r="A4" s="1">
        <v>43831.0</v>
      </c>
      <c r="B4" s="8">
        <v>21.0</v>
      </c>
      <c r="C4" s="8">
        <v>519.0</v>
      </c>
      <c r="D4" s="9">
        <f t="shared" si="1"/>
        <v>0.04046242775</v>
      </c>
      <c r="E4" s="8">
        <v>9.0</v>
      </c>
      <c r="F4" s="8">
        <v>95.0</v>
      </c>
      <c r="G4" s="9">
        <f t="shared" si="2"/>
        <v>0.09473684211</v>
      </c>
      <c r="H4" s="8">
        <v>12.0</v>
      </c>
      <c r="I4" s="8">
        <v>559.0</v>
      </c>
      <c r="J4" s="9">
        <f t="shared" si="3"/>
        <v>0.02146690519</v>
      </c>
      <c r="M4" s="9"/>
      <c r="N4" s="8">
        <v>36.0</v>
      </c>
      <c r="O4" s="8">
        <v>669.0</v>
      </c>
      <c r="P4" s="9">
        <f t="shared" si="4"/>
        <v>0.05381165919</v>
      </c>
      <c r="T4" s="8">
        <v>18.0</v>
      </c>
      <c r="U4" s="8">
        <v>301.0</v>
      </c>
      <c r="V4" s="9">
        <f t="shared" ref="V4:V46" si="53">T4/U4</f>
        <v>0.05980066445</v>
      </c>
      <c r="W4" s="8">
        <v>14.0</v>
      </c>
      <c r="X4" s="8">
        <v>423.0</v>
      </c>
      <c r="Y4" s="9">
        <f t="shared" si="5"/>
        <v>0.03309692671</v>
      </c>
      <c r="Z4" s="8">
        <v>9.0</v>
      </c>
      <c r="AA4" s="8">
        <v>192.0</v>
      </c>
      <c r="AB4" s="9">
        <f t="shared" ref="AB4:AB47" si="54">Z4/AA4</f>
        <v>0.046875</v>
      </c>
      <c r="AC4" s="8">
        <v>26.0</v>
      </c>
      <c r="AD4" s="8">
        <v>1060.0</v>
      </c>
      <c r="AE4" s="9">
        <f t="shared" ref="AE4:AE47" si="55">AC4/AD4</f>
        <v>0.02452830189</v>
      </c>
      <c r="AF4" s="8">
        <v>13.0</v>
      </c>
      <c r="AG4" s="8">
        <v>340.0</v>
      </c>
      <c r="AH4" s="9">
        <f t="shared" si="6"/>
        <v>0.03823529412</v>
      </c>
      <c r="AI4" s="10">
        <v>13.0</v>
      </c>
      <c r="AJ4" s="8">
        <v>393.0</v>
      </c>
      <c r="AK4" s="9">
        <f t="shared" si="7"/>
        <v>0.03307888041</v>
      </c>
      <c r="AL4" s="16">
        <v>19.0</v>
      </c>
      <c r="AM4" s="16">
        <v>291.0</v>
      </c>
      <c r="AN4" s="17">
        <f t="shared" si="8"/>
        <v>0.06529209622</v>
      </c>
      <c r="AO4" s="18">
        <v>2.0</v>
      </c>
      <c r="AP4" s="18">
        <v>101.0</v>
      </c>
      <c r="AQ4" s="17">
        <f t="shared" si="9"/>
        <v>0.0198019802</v>
      </c>
      <c r="AR4" s="17"/>
      <c r="AS4" s="16">
        <v>63.0</v>
      </c>
      <c r="AT4" s="17"/>
      <c r="AU4" s="17"/>
      <c r="AV4" s="17"/>
      <c r="AW4" s="17"/>
      <c r="AX4" s="21" t="s">
        <v>74</v>
      </c>
      <c r="AY4" s="21" t="s">
        <v>75</v>
      </c>
      <c r="AZ4" s="17">
        <f t="shared" si="10"/>
        <v>0.03846153846</v>
      </c>
      <c r="BA4" s="16">
        <v>4.0</v>
      </c>
      <c r="BB4" s="16">
        <v>75.0</v>
      </c>
      <c r="BC4" s="17">
        <f t="shared" si="11"/>
        <v>0.05333333333</v>
      </c>
      <c r="BD4" s="16"/>
      <c r="BE4" s="16">
        <v>15.0</v>
      </c>
      <c r="BF4" s="16"/>
      <c r="BG4" s="16"/>
      <c r="BH4" s="18">
        <v>62.0</v>
      </c>
      <c r="BI4" s="16"/>
      <c r="BJ4" s="18">
        <v>4.0</v>
      </c>
      <c r="BK4" s="18">
        <v>167.0</v>
      </c>
      <c r="BL4" s="17">
        <f t="shared" si="12"/>
        <v>0.02395209581</v>
      </c>
      <c r="BM4" s="19">
        <v>1.0</v>
      </c>
      <c r="BN4" s="19">
        <v>42.0</v>
      </c>
      <c r="BO4" s="17">
        <f t="shared" si="13"/>
        <v>0.02380952381</v>
      </c>
      <c r="BP4" s="16">
        <v>1.0</v>
      </c>
      <c r="BQ4" s="16">
        <v>62.0</v>
      </c>
      <c r="BR4" s="17">
        <f t="shared" si="14"/>
        <v>0.01612903226</v>
      </c>
      <c r="BS4" s="16">
        <v>7.0</v>
      </c>
      <c r="BT4" s="16">
        <v>136.0</v>
      </c>
      <c r="BU4" s="17">
        <f t="shared" si="15"/>
        <v>0.05147058824</v>
      </c>
      <c r="BV4" s="18">
        <v>3.0</v>
      </c>
      <c r="BW4" s="18">
        <v>82.0</v>
      </c>
      <c r="BX4" s="17">
        <f t="shared" si="16"/>
        <v>0.03658536585</v>
      </c>
      <c r="BY4" s="16"/>
      <c r="BZ4" s="16">
        <v>99.0</v>
      </c>
      <c r="CA4" s="17"/>
      <c r="CB4" s="18">
        <v>2.0</v>
      </c>
      <c r="CC4" s="18">
        <v>45.0</v>
      </c>
      <c r="CD4" s="17">
        <f t="shared" si="17"/>
        <v>0.04444444444</v>
      </c>
      <c r="CE4" s="16">
        <v>10.0</v>
      </c>
      <c r="CF4" s="8">
        <v>270.0</v>
      </c>
      <c r="CG4" s="17">
        <f t="shared" si="18"/>
        <v>0.03703703704</v>
      </c>
      <c r="CH4" s="16">
        <v>0.0</v>
      </c>
      <c r="CI4" s="16">
        <v>16.0</v>
      </c>
      <c r="CJ4" s="17">
        <f t="shared" si="19"/>
        <v>0</v>
      </c>
      <c r="CK4" s="16">
        <v>3.0</v>
      </c>
      <c r="CL4" s="16">
        <v>87.0</v>
      </c>
      <c r="CM4" s="17">
        <f t="shared" si="20"/>
        <v>0.03448275862</v>
      </c>
      <c r="CN4" s="16">
        <v>0.0</v>
      </c>
      <c r="CO4" s="16">
        <v>111.0</v>
      </c>
      <c r="CP4" s="17">
        <f t="shared" si="21"/>
        <v>0</v>
      </c>
      <c r="CQ4" s="16">
        <v>10.0</v>
      </c>
      <c r="CR4" s="16">
        <v>583.0</v>
      </c>
      <c r="CS4" s="17">
        <f t="shared" si="22"/>
        <v>0.01715265866</v>
      </c>
      <c r="CT4" s="16">
        <v>5.0</v>
      </c>
      <c r="CU4" s="16">
        <v>167.0</v>
      </c>
      <c r="CV4" s="17">
        <f t="shared" si="23"/>
        <v>0.02994011976</v>
      </c>
      <c r="CW4" s="16">
        <v>2.0</v>
      </c>
      <c r="CX4" s="16">
        <v>45.0</v>
      </c>
      <c r="CY4" s="17">
        <f t="shared" si="24"/>
        <v>0.04444444444</v>
      </c>
      <c r="CZ4" s="16">
        <v>21.0</v>
      </c>
      <c r="DA4" s="16">
        <v>131.0</v>
      </c>
      <c r="DB4" s="17">
        <f t="shared" ref="DB4:DB45" si="56">CZ4/DA4</f>
        <v>0.1603053435</v>
      </c>
      <c r="DC4" s="16">
        <v>1.0</v>
      </c>
      <c r="DD4" s="16">
        <v>49.0</v>
      </c>
      <c r="DE4" s="17">
        <f t="shared" si="25"/>
        <v>0.02040816327</v>
      </c>
      <c r="DF4" s="16"/>
      <c r="DG4" s="16"/>
      <c r="DH4" s="17"/>
      <c r="DI4" s="16">
        <v>14.0</v>
      </c>
      <c r="DJ4" s="16">
        <v>166.0</v>
      </c>
      <c r="DK4" s="17">
        <f t="shared" si="26"/>
        <v>0.0843373494</v>
      </c>
      <c r="DL4" s="16">
        <v>3.0</v>
      </c>
      <c r="DM4" s="16">
        <v>31.0</v>
      </c>
      <c r="DN4" s="17">
        <f t="shared" si="27"/>
        <v>0.09677419355</v>
      </c>
      <c r="DO4" s="16">
        <v>5.0</v>
      </c>
      <c r="DP4" s="16">
        <v>90.0</v>
      </c>
      <c r="DQ4" s="17">
        <f t="shared" si="28"/>
        <v>0.05555555556</v>
      </c>
      <c r="DR4" s="16">
        <v>5.0</v>
      </c>
      <c r="DS4" s="16">
        <v>96.0</v>
      </c>
      <c r="DT4" s="17">
        <f t="shared" si="29"/>
        <v>0.05208333333</v>
      </c>
      <c r="DU4" s="16">
        <v>5.0</v>
      </c>
      <c r="DV4" s="16">
        <v>177.0</v>
      </c>
      <c r="DW4" s="17">
        <f t="shared" ref="DW4:DW47" si="57">DU4/DV4</f>
        <v>0.02824858757</v>
      </c>
      <c r="DX4" s="16">
        <v>0.0</v>
      </c>
      <c r="DY4" s="16">
        <v>16.0</v>
      </c>
      <c r="DZ4" s="17">
        <f t="shared" si="30"/>
        <v>0</v>
      </c>
      <c r="EA4" s="22">
        <v>11.0</v>
      </c>
      <c r="EB4" s="16">
        <v>280.0</v>
      </c>
      <c r="EC4" s="17">
        <f t="shared" si="31"/>
        <v>0.03928571429</v>
      </c>
      <c r="ED4" s="16">
        <v>3.0</v>
      </c>
      <c r="EE4" s="16">
        <v>38.0</v>
      </c>
      <c r="EF4" s="17">
        <f t="shared" si="32"/>
        <v>0.07894736842</v>
      </c>
      <c r="EG4" s="16">
        <v>1.0</v>
      </c>
      <c r="EH4" s="16">
        <v>106.0</v>
      </c>
      <c r="EI4" s="17">
        <f t="shared" si="33"/>
        <v>0.009433962264</v>
      </c>
      <c r="EJ4" s="16">
        <v>6.0</v>
      </c>
      <c r="EK4" s="16">
        <v>420.0</v>
      </c>
      <c r="EL4" s="17">
        <f t="shared" si="34"/>
        <v>0.01428571429</v>
      </c>
      <c r="EM4" s="16">
        <v>0.0</v>
      </c>
      <c r="EN4" s="16">
        <v>22.0</v>
      </c>
      <c r="EO4" s="17">
        <f t="shared" si="35"/>
        <v>0</v>
      </c>
      <c r="EP4" s="17"/>
      <c r="EQ4" s="17"/>
      <c r="ER4" s="17"/>
      <c r="ES4" s="16">
        <v>5.0</v>
      </c>
      <c r="ET4" s="16">
        <v>90.0</v>
      </c>
      <c r="EU4" s="17">
        <f t="shared" si="36"/>
        <v>0.05555555556</v>
      </c>
      <c r="EV4" s="17"/>
      <c r="EW4" s="16">
        <v>53.0</v>
      </c>
      <c r="EX4" s="17"/>
      <c r="EY4" s="16">
        <v>23.0</v>
      </c>
      <c r="EZ4" s="16">
        <v>312.0</v>
      </c>
      <c r="FA4" s="17">
        <f t="shared" si="37"/>
        <v>0.07371794872</v>
      </c>
      <c r="FB4" s="16">
        <v>42.0</v>
      </c>
      <c r="FC4" s="16">
        <v>1409.0</v>
      </c>
      <c r="FD4" s="17">
        <f t="shared" si="38"/>
        <v>0.0328125</v>
      </c>
      <c r="FE4" s="8">
        <v>10.0</v>
      </c>
      <c r="FF4" s="16">
        <v>120.0</v>
      </c>
      <c r="FG4" s="17">
        <f t="shared" si="39"/>
        <v>0.08333333333</v>
      </c>
      <c r="FH4" s="16">
        <v>8.0</v>
      </c>
      <c r="FI4" s="16">
        <v>104.0</v>
      </c>
      <c r="FJ4" s="17">
        <f t="shared" si="40"/>
        <v>0.07692307692</v>
      </c>
      <c r="FK4" s="16">
        <v>2.0</v>
      </c>
      <c r="FL4" s="16">
        <v>63.0</v>
      </c>
      <c r="FM4" s="17">
        <f t="shared" si="41"/>
        <v>0.03174603175</v>
      </c>
      <c r="FN4" s="16">
        <v>8.0</v>
      </c>
      <c r="FO4" s="16">
        <v>81.0</v>
      </c>
      <c r="FP4" s="17">
        <f t="shared" si="42"/>
        <v>0.0987654321</v>
      </c>
      <c r="FQ4" s="16">
        <v>9.0</v>
      </c>
      <c r="FR4" s="16">
        <v>87.0</v>
      </c>
      <c r="FS4" s="17">
        <f t="shared" si="43"/>
        <v>0.1034482759</v>
      </c>
      <c r="FT4" s="16">
        <v>3.0</v>
      </c>
      <c r="FU4" s="17"/>
      <c r="FV4" s="17"/>
      <c r="FW4" s="16">
        <v>4.0</v>
      </c>
      <c r="FX4" s="16">
        <v>37.0</v>
      </c>
      <c r="FY4" s="17">
        <f t="shared" si="44"/>
        <v>0.1081081081</v>
      </c>
      <c r="FZ4" s="16">
        <v>6.0</v>
      </c>
      <c r="GA4" s="17"/>
      <c r="GB4" s="17"/>
      <c r="GC4" s="16">
        <v>4.0</v>
      </c>
      <c r="GD4" s="16">
        <v>136.0</v>
      </c>
      <c r="GE4" s="17">
        <f t="shared" si="45"/>
        <v>0.02941176471</v>
      </c>
      <c r="GF4" s="16">
        <v>4.0</v>
      </c>
      <c r="GG4" s="16">
        <v>121.0</v>
      </c>
      <c r="GH4" s="17">
        <f t="shared" si="46"/>
        <v>0.03305785124</v>
      </c>
      <c r="GI4" s="16">
        <v>30.0</v>
      </c>
      <c r="GJ4" s="16">
        <v>490.0</v>
      </c>
      <c r="GK4" s="17">
        <f t="shared" si="47"/>
        <v>0.0612244898</v>
      </c>
      <c r="GL4" s="16">
        <v>0.0</v>
      </c>
      <c r="GM4" s="16">
        <v>18.0</v>
      </c>
      <c r="GN4" s="17">
        <f t="shared" si="48"/>
        <v>0</v>
      </c>
      <c r="GO4" s="16">
        <v>3.0</v>
      </c>
      <c r="GP4" s="16">
        <v>15.0</v>
      </c>
      <c r="GQ4" s="17">
        <f t="shared" si="49"/>
        <v>0.2</v>
      </c>
      <c r="GR4" s="16">
        <v>5.0</v>
      </c>
      <c r="GS4" s="16">
        <v>51.0</v>
      </c>
      <c r="GT4" s="17">
        <f t="shared" si="50"/>
        <v>0.09803921569</v>
      </c>
      <c r="GU4" s="8">
        <v>1.0</v>
      </c>
      <c r="GV4" s="16">
        <v>17.0</v>
      </c>
      <c r="GW4" s="17">
        <f t="shared" si="51"/>
        <v>0.05882352941</v>
      </c>
      <c r="GX4" s="16">
        <v>18.0</v>
      </c>
      <c r="GY4" s="16">
        <v>586.0</v>
      </c>
      <c r="GZ4" s="17"/>
      <c r="HA4" s="16">
        <v>10.0</v>
      </c>
      <c r="HB4" s="16">
        <v>215.0</v>
      </c>
      <c r="HC4" s="17">
        <f t="shared" si="52"/>
        <v>0.04651162791</v>
      </c>
      <c r="HD4" s="17"/>
      <c r="HE4" s="17"/>
      <c r="HF4" s="17"/>
    </row>
    <row r="5" ht="15.75" customHeight="1">
      <c r="A5" s="1">
        <f t="shared" ref="A5:A47" si="58">EDATE(A4,1)</f>
        <v>43862</v>
      </c>
      <c r="B5" s="8">
        <v>28.0</v>
      </c>
      <c r="C5" s="8">
        <v>402.0</v>
      </c>
      <c r="D5" s="9">
        <f t="shared" si="1"/>
        <v>0.06965174129</v>
      </c>
      <c r="E5" s="8">
        <v>5.0</v>
      </c>
      <c r="F5" s="8">
        <v>64.0</v>
      </c>
      <c r="G5" s="9">
        <f t="shared" si="2"/>
        <v>0.078125</v>
      </c>
      <c r="H5" s="8">
        <v>10.0</v>
      </c>
      <c r="I5" s="8">
        <v>498.0</v>
      </c>
      <c r="J5" s="9">
        <f t="shared" si="3"/>
        <v>0.02008032129</v>
      </c>
      <c r="M5" s="9"/>
      <c r="N5" s="8">
        <v>40.0</v>
      </c>
      <c r="O5" s="8">
        <v>653.0</v>
      </c>
      <c r="P5" s="9">
        <f t="shared" si="4"/>
        <v>0.06125574273</v>
      </c>
      <c r="T5" s="8">
        <v>10.0</v>
      </c>
      <c r="U5" s="8">
        <v>277.0</v>
      </c>
      <c r="V5" s="9">
        <f t="shared" si="53"/>
        <v>0.03610108303</v>
      </c>
      <c r="W5" s="8">
        <v>16.0</v>
      </c>
      <c r="X5" s="8">
        <v>411.0</v>
      </c>
      <c r="Y5" s="9">
        <f t="shared" si="5"/>
        <v>0.03892944039</v>
      </c>
      <c r="Z5" s="8">
        <v>4.0</v>
      </c>
      <c r="AA5" s="8">
        <v>157.0</v>
      </c>
      <c r="AB5" s="9">
        <f t="shared" si="54"/>
        <v>0.02547770701</v>
      </c>
      <c r="AC5" s="8">
        <v>23.0</v>
      </c>
      <c r="AD5" s="8">
        <v>874.0</v>
      </c>
      <c r="AE5" s="9">
        <f t="shared" si="55"/>
        <v>0.02631578947</v>
      </c>
      <c r="AF5" s="8">
        <v>4.0</v>
      </c>
      <c r="AG5" s="8">
        <v>310.0</v>
      </c>
      <c r="AH5" s="9">
        <f t="shared" si="6"/>
        <v>0.01290322581</v>
      </c>
      <c r="AI5" s="10">
        <v>12.0</v>
      </c>
      <c r="AJ5" s="8">
        <v>323.0</v>
      </c>
      <c r="AK5" s="9">
        <f t="shared" si="7"/>
        <v>0.03715170279</v>
      </c>
      <c r="AL5" s="16">
        <v>13.0</v>
      </c>
      <c r="AM5" s="16">
        <v>266.0</v>
      </c>
      <c r="AN5" s="17">
        <f t="shared" si="8"/>
        <v>0.04887218045</v>
      </c>
      <c r="AO5" s="18">
        <v>3.0</v>
      </c>
      <c r="AP5" s="18">
        <v>100.0</v>
      </c>
      <c r="AQ5" s="17">
        <f t="shared" si="9"/>
        <v>0.03</v>
      </c>
      <c r="AR5" s="17"/>
      <c r="AS5" s="16">
        <v>43.0</v>
      </c>
      <c r="AT5" s="17"/>
      <c r="AU5" s="17"/>
      <c r="AV5" s="17"/>
      <c r="AW5" s="17"/>
      <c r="AX5" s="21" t="s">
        <v>76</v>
      </c>
      <c r="AY5" s="21" t="s">
        <v>77</v>
      </c>
      <c r="AZ5" s="17">
        <f t="shared" si="10"/>
        <v>0.0985915493</v>
      </c>
      <c r="BA5" s="16">
        <v>1.0</v>
      </c>
      <c r="BB5" s="16">
        <v>45.0</v>
      </c>
      <c r="BC5" s="17">
        <f t="shared" si="11"/>
        <v>0.02222222222</v>
      </c>
      <c r="BD5" s="17"/>
      <c r="BE5" s="16">
        <v>8.0</v>
      </c>
      <c r="BF5" s="17"/>
      <c r="BG5" s="17"/>
      <c r="BH5" s="18">
        <v>51.0</v>
      </c>
      <c r="BI5" s="17"/>
      <c r="BJ5" s="18">
        <v>5.0</v>
      </c>
      <c r="BK5" s="18">
        <v>179.0</v>
      </c>
      <c r="BL5" s="17">
        <f t="shared" si="12"/>
        <v>0.02793296089</v>
      </c>
      <c r="BM5" s="19">
        <v>1.0</v>
      </c>
      <c r="BN5" s="19">
        <v>25.0</v>
      </c>
      <c r="BO5" s="17">
        <f t="shared" si="13"/>
        <v>0.04</v>
      </c>
      <c r="BP5" s="16">
        <v>2.0</v>
      </c>
      <c r="BQ5" s="16">
        <v>42.0</v>
      </c>
      <c r="BR5" s="17">
        <f t="shared" si="14"/>
        <v>0.04761904762</v>
      </c>
      <c r="BS5" s="16">
        <v>9.0</v>
      </c>
      <c r="BT5" s="16">
        <v>100.0</v>
      </c>
      <c r="BU5" s="17">
        <f t="shared" si="15"/>
        <v>0.09</v>
      </c>
      <c r="BV5" s="18">
        <v>2.0</v>
      </c>
      <c r="BW5" s="18">
        <v>50.0</v>
      </c>
      <c r="BX5" s="17">
        <f t="shared" si="16"/>
        <v>0.04</v>
      </c>
      <c r="BY5" s="16"/>
      <c r="BZ5" s="16">
        <v>68.0</v>
      </c>
      <c r="CA5" s="17"/>
      <c r="CB5" s="18">
        <v>0.0</v>
      </c>
      <c r="CC5" s="16">
        <v>28.0</v>
      </c>
      <c r="CD5" s="17">
        <f t="shared" si="17"/>
        <v>0</v>
      </c>
      <c r="CE5" s="16">
        <v>9.0</v>
      </c>
      <c r="CF5" s="8">
        <v>285.0</v>
      </c>
      <c r="CG5" s="17">
        <f t="shared" si="18"/>
        <v>0.03157894737</v>
      </c>
      <c r="CH5" s="16">
        <v>0.0</v>
      </c>
      <c r="CI5" s="16">
        <v>15.0</v>
      </c>
      <c r="CJ5" s="17">
        <f t="shared" si="19"/>
        <v>0</v>
      </c>
      <c r="CK5" s="16">
        <v>6.0</v>
      </c>
      <c r="CL5" s="16">
        <v>75.0</v>
      </c>
      <c r="CM5" s="17">
        <f t="shared" si="20"/>
        <v>0.08</v>
      </c>
      <c r="CN5" s="16">
        <v>0.0</v>
      </c>
      <c r="CO5" s="16">
        <v>78.0</v>
      </c>
      <c r="CP5" s="17">
        <f t="shared" si="21"/>
        <v>0</v>
      </c>
      <c r="CQ5" s="16">
        <v>10.0</v>
      </c>
      <c r="CR5" s="16">
        <v>610.0</v>
      </c>
      <c r="CS5" s="17">
        <f t="shared" si="22"/>
        <v>0.01639344262</v>
      </c>
      <c r="CT5" s="16">
        <v>3.0</v>
      </c>
      <c r="CU5" s="16">
        <v>143.0</v>
      </c>
      <c r="CV5" s="17">
        <f t="shared" si="23"/>
        <v>0.02097902098</v>
      </c>
      <c r="CW5" s="16">
        <v>0.0</v>
      </c>
      <c r="CX5" s="16">
        <v>28.0</v>
      </c>
      <c r="CY5" s="17">
        <f t="shared" si="24"/>
        <v>0</v>
      </c>
      <c r="CZ5" s="16">
        <v>10.0</v>
      </c>
      <c r="DA5" s="16">
        <v>114.0</v>
      </c>
      <c r="DB5" s="17">
        <f t="shared" si="56"/>
        <v>0.08771929825</v>
      </c>
      <c r="DC5" s="16">
        <v>1.0</v>
      </c>
      <c r="DD5" s="16">
        <v>26.0</v>
      </c>
      <c r="DE5" s="17">
        <f t="shared" si="25"/>
        <v>0.03846153846</v>
      </c>
      <c r="DF5" s="16"/>
      <c r="DG5" s="16"/>
      <c r="DH5" s="17"/>
      <c r="DI5" s="16">
        <v>8.0</v>
      </c>
      <c r="DJ5" s="16">
        <v>165.0</v>
      </c>
      <c r="DK5" s="17">
        <f t="shared" si="26"/>
        <v>0.04848484848</v>
      </c>
      <c r="DL5" s="16">
        <v>3.0</v>
      </c>
      <c r="DM5" s="16">
        <v>30.0</v>
      </c>
      <c r="DN5" s="17">
        <f t="shared" si="27"/>
        <v>0.1</v>
      </c>
      <c r="DO5" s="16">
        <v>1.0</v>
      </c>
      <c r="DP5" s="16">
        <v>75.0</v>
      </c>
      <c r="DQ5" s="17">
        <f t="shared" si="28"/>
        <v>0.01333333333</v>
      </c>
      <c r="DR5" s="16">
        <v>5.0</v>
      </c>
      <c r="DS5" s="16">
        <v>86.0</v>
      </c>
      <c r="DT5" s="17">
        <f t="shared" si="29"/>
        <v>0.05813953488</v>
      </c>
      <c r="DU5" s="16">
        <v>10.0</v>
      </c>
      <c r="DV5" s="16">
        <v>184.0</v>
      </c>
      <c r="DW5" s="17">
        <f t="shared" si="57"/>
        <v>0.05434782609</v>
      </c>
      <c r="DX5" s="16">
        <v>0.0</v>
      </c>
      <c r="DY5" s="16">
        <v>20.0</v>
      </c>
      <c r="DZ5" s="17">
        <f t="shared" si="30"/>
        <v>0</v>
      </c>
      <c r="EA5" s="22">
        <v>12.0</v>
      </c>
      <c r="EB5" s="16">
        <v>273.0</v>
      </c>
      <c r="EC5" s="17">
        <f t="shared" si="31"/>
        <v>0.04395604396</v>
      </c>
      <c r="ED5" s="16">
        <v>4.0</v>
      </c>
      <c r="EE5" s="16">
        <v>37.0</v>
      </c>
      <c r="EF5" s="17">
        <f t="shared" si="32"/>
        <v>0.1081081081</v>
      </c>
      <c r="EG5" s="16">
        <v>2.0</v>
      </c>
      <c r="EH5" s="16">
        <v>84.0</v>
      </c>
      <c r="EI5" s="17">
        <f t="shared" si="33"/>
        <v>0.02380952381</v>
      </c>
      <c r="EJ5" s="16">
        <v>9.0</v>
      </c>
      <c r="EK5" s="16">
        <v>477.0</v>
      </c>
      <c r="EL5" s="17">
        <f t="shared" si="34"/>
        <v>0.01886792453</v>
      </c>
      <c r="EM5" s="16">
        <v>1.0</v>
      </c>
      <c r="EN5" s="16">
        <v>9.0</v>
      </c>
      <c r="EO5" s="17">
        <f t="shared" si="35"/>
        <v>0.1111111111</v>
      </c>
      <c r="EP5" s="16"/>
      <c r="EQ5" s="16"/>
      <c r="ER5" s="17"/>
      <c r="ES5" s="16">
        <v>2.0</v>
      </c>
      <c r="ET5" s="16">
        <v>82.0</v>
      </c>
      <c r="EU5" s="17">
        <f t="shared" si="36"/>
        <v>0.0243902439</v>
      </c>
      <c r="EV5" s="16"/>
      <c r="EW5" s="16">
        <v>44.0</v>
      </c>
      <c r="EX5" s="17"/>
      <c r="EY5" s="16">
        <v>24.0</v>
      </c>
      <c r="EZ5" s="16">
        <v>290.0</v>
      </c>
      <c r="FA5" s="17">
        <f t="shared" si="37"/>
        <v>0.08275862069</v>
      </c>
      <c r="FB5" s="16">
        <v>39.0</v>
      </c>
      <c r="FC5" s="16">
        <v>1280.0</v>
      </c>
      <c r="FD5" s="17">
        <f t="shared" si="38"/>
        <v>0.02640487475</v>
      </c>
      <c r="FE5" s="8">
        <v>3.0</v>
      </c>
      <c r="FF5" s="16">
        <v>128.0</v>
      </c>
      <c r="FG5" s="17">
        <f t="shared" si="39"/>
        <v>0.0234375</v>
      </c>
      <c r="FH5" s="16">
        <v>5.0</v>
      </c>
      <c r="FI5" s="16">
        <v>91.0</v>
      </c>
      <c r="FJ5" s="17">
        <f t="shared" si="40"/>
        <v>0.05494505495</v>
      </c>
      <c r="FK5" s="16">
        <v>2.0</v>
      </c>
      <c r="FL5" s="16">
        <v>62.0</v>
      </c>
      <c r="FM5" s="17">
        <f t="shared" si="41"/>
        <v>0.03225806452</v>
      </c>
      <c r="FN5" s="16">
        <v>4.0</v>
      </c>
      <c r="FO5" s="16">
        <v>53.0</v>
      </c>
      <c r="FP5" s="17">
        <f t="shared" si="42"/>
        <v>0.07547169811</v>
      </c>
      <c r="FQ5" s="16">
        <v>3.0</v>
      </c>
      <c r="FR5" s="16">
        <v>57.0</v>
      </c>
      <c r="FS5" s="17">
        <f t="shared" si="43"/>
        <v>0.05263157895</v>
      </c>
      <c r="FT5" s="16">
        <v>1.0</v>
      </c>
      <c r="FU5" s="16"/>
      <c r="FV5" s="16"/>
      <c r="FW5" s="16">
        <v>3.0</v>
      </c>
      <c r="FX5" s="16">
        <v>32.0</v>
      </c>
      <c r="FY5" s="17">
        <f t="shared" si="44"/>
        <v>0.09375</v>
      </c>
      <c r="FZ5" s="16">
        <v>5.0</v>
      </c>
      <c r="GA5" s="16"/>
      <c r="GB5" s="16"/>
      <c r="GC5" s="16">
        <v>0.0</v>
      </c>
      <c r="GD5" s="16">
        <v>121.0</v>
      </c>
      <c r="GE5" s="17">
        <f t="shared" si="45"/>
        <v>0</v>
      </c>
      <c r="GF5" s="16">
        <v>1.0</v>
      </c>
      <c r="GG5" s="16">
        <v>116.0</v>
      </c>
      <c r="GH5" s="17">
        <f t="shared" si="46"/>
        <v>0.008620689655</v>
      </c>
      <c r="GI5" s="16">
        <v>18.0</v>
      </c>
      <c r="GJ5" s="16">
        <v>423.0</v>
      </c>
      <c r="GK5" s="17">
        <f t="shared" si="47"/>
        <v>0.04255319149</v>
      </c>
      <c r="GL5" s="16">
        <v>0.0</v>
      </c>
      <c r="GM5" s="16">
        <v>14.0</v>
      </c>
      <c r="GN5" s="17">
        <f t="shared" si="48"/>
        <v>0</v>
      </c>
      <c r="GO5" s="16">
        <v>2.0</v>
      </c>
      <c r="GP5" s="16">
        <v>18.0</v>
      </c>
      <c r="GQ5" s="17">
        <f t="shared" si="49"/>
        <v>0.1111111111</v>
      </c>
      <c r="GR5" s="16">
        <v>6.0</v>
      </c>
      <c r="GS5" s="16">
        <v>40.0</v>
      </c>
      <c r="GT5" s="17">
        <f t="shared" si="50"/>
        <v>0.15</v>
      </c>
      <c r="GU5" s="8">
        <v>2.0</v>
      </c>
      <c r="GV5" s="16">
        <v>19.0</v>
      </c>
      <c r="GW5" s="17">
        <f t="shared" si="51"/>
        <v>0.1052631579</v>
      </c>
      <c r="GX5" s="16">
        <v>15.0</v>
      </c>
      <c r="GY5" s="16">
        <v>556.0</v>
      </c>
      <c r="GZ5" s="16"/>
      <c r="HA5" s="16">
        <v>6.0</v>
      </c>
      <c r="HB5" s="16">
        <v>169.0</v>
      </c>
      <c r="HC5" s="17">
        <f t="shared" si="52"/>
        <v>0.03550295858</v>
      </c>
      <c r="HD5" s="16"/>
      <c r="HE5" s="16"/>
      <c r="HF5" s="16"/>
    </row>
    <row r="6" ht="15.75" customHeight="1">
      <c r="A6" s="1">
        <f t="shared" si="58"/>
        <v>43891</v>
      </c>
      <c r="B6" s="8">
        <v>35.0</v>
      </c>
      <c r="C6" s="8">
        <v>508.0</v>
      </c>
      <c r="D6" s="9">
        <f t="shared" si="1"/>
        <v>0.0688976378</v>
      </c>
      <c r="E6" s="8">
        <v>6.0</v>
      </c>
      <c r="F6" s="8">
        <v>75.0</v>
      </c>
      <c r="G6" s="9">
        <f t="shared" si="2"/>
        <v>0.08</v>
      </c>
      <c r="H6" s="8">
        <v>4.0</v>
      </c>
      <c r="I6" s="8">
        <v>465.0</v>
      </c>
      <c r="J6" s="9">
        <f t="shared" si="3"/>
        <v>0.008602150538</v>
      </c>
      <c r="M6" s="9"/>
      <c r="N6" s="8">
        <v>38.0</v>
      </c>
      <c r="O6" s="8">
        <v>628.0</v>
      </c>
      <c r="P6" s="9">
        <f t="shared" si="4"/>
        <v>0.06050955414</v>
      </c>
      <c r="T6" s="8">
        <v>14.0</v>
      </c>
      <c r="U6" s="8">
        <v>296.0</v>
      </c>
      <c r="V6" s="9">
        <f t="shared" si="53"/>
        <v>0.0472972973</v>
      </c>
      <c r="W6" s="8">
        <v>29.0</v>
      </c>
      <c r="X6" s="8">
        <v>412.0</v>
      </c>
      <c r="Y6" s="9">
        <f t="shared" si="5"/>
        <v>0.07038834951</v>
      </c>
      <c r="Z6" s="8">
        <v>4.0</v>
      </c>
      <c r="AA6" s="8">
        <v>197.0</v>
      </c>
      <c r="AB6" s="9">
        <f t="shared" si="54"/>
        <v>0.02030456853</v>
      </c>
      <c r="AC6" s="8">
        <v>22.0</v>
      </c>
      <c r="AD6" s="8">
        <v>842.0</v>
      </c>
      <c r="AE6" s="9">
        <f t="shared" si="55"/>
        <v>0.02612826603</v>
      </c>
      <c r="AF6" s="8">
        <v>15.0</v>
      </c>
      <c r="AG6" s="8">
        <v>292.0</v>
      </c>
      <c r="AH6" s="9">
        <f t="shared" si="6"/>
        <v>0.05136986301</v>
      </c>
      <c r="AI6" s="10">
        <v>9.0</v>
      </c>
      <c r="AJ6" s="8">
        <v>302.0</v>
      </c>
      <c r="AK6" s="9">
        <f t="shared" si="7"/>
        <v>0.0298013245</v>
      </c>
      <c r="AL6" s="16">
        <v>17.0</v>
      </c>
      <c r="AM6" s="16">
        <v>261.0</v>
      </c>
      <c r="AN6" s="17">
        <f t="shared" si="8"/>
        <v>0.06513409962</v>
      </c>
      <c r="AO6" s="18">
        <v>7.0</v>
      </c>
      <c r="AP6" s="18">
        <v>109.0</v>
      </c>
      <c r="AQ6" s="17">
        <f t="shared" si="9"/>
        <v>0.06422018349</v>
      </c>
      <c r="AR6" s="17"/>
      <c r="AS6" s="16">
        <v>59.0</v>
      </c>
      <c r="AT6" s="17"/>
      <c r="AU6" s="17"/>
      <c r="AV6" s="17"/>
      <c r="AW6" s="17"/>
      <c r="AX6" s="21" t="s">
        <v>78</v>
      </c>
      <c r="AY6" s="21" t="s">
        <v>79</v>
      </c>
      <c r="AZ6" s="17">
        <f t="shared" si="10"/>
        <v>0.05333333333</v>
      </c>
      <c r="BA6" s="16">
        <v>2.0</v>
      </c>
      <c r="BB6" s="16">
        <v>53.0</v>
      </c>
      <c r="BC6" s="17">
        <f t="shared" si="11"/>
        <v>0.03773584906</v>
      </c>
      <c r="BD6" s="17"/>
      <c r="BE6" s="16">
        <v>11.0</v>
      </c>
      <c r="BF6" s="17"/>
      <c r="BG6" s="17"/>
      <c r="BH6" s="18">
        <v>46.0</v>
      </c>
      <c r="BI6" s="17"/>
      <c r="BJ6" s="18">
        <v>11.0</v>
      </c>
      <c r="BK6" s="18">
        <v>187.0</v>
      </c>
      <c r="BL6" s="17">
        <f t="shared" si="12"/>
        <v>0.05882352941</v>
      </c>
      <c r="BM6" s="19">
        <v>1.0</v>
      </c>
      <c r="BN6" s="19">
        <v>34.0</v>
      </c>
      <c r="BO6" s="17">
        <f t="shared" si="13"/>
        <v>0.02941176471</v>
      </c>
      <c r="BP6" s="16">
        <v>2.0</v>
      </c>
      <c r="BQ6" s="16">
        <v>52.0</v>
      </c>
      <c r="BR6" s="17">
        <f t="shared" si="14"/>
        <v>0.03846153846</v>
      </c>
      <c r="BS6" s="16">
        <v>2.0</v>
      </c>
      <c r="BT6" s="16">
        <v>80.0</v>
      </c>
      <c r="BU6" s="17">
        <f t="shared" si="15"/>
        <v>0.025</v>
      </c>
      <c r="BV6" s="18">
        <v>2.0</v>
      </c>
      <c r="BW6" s="18">
        <v>83.0</v>
      </c>
      <c r="BX6" s="17">
        <f t="shared" si="16"/>
        <v>0.02409638554</v>
      </c>
      <c r="BY6" s="16">
        <v>1.0</v>
      </c>
      <c r="BZ6" s="16">
        <v>67.0</v>
      </c>
      <c r="CA6" s="13">
        <f t="shared" ref="CA6:CA47" si="59">BY6/BZ6</f>
        <v>0.01492537313</v>
      </c>
      <c r="CB6" s="18">
        <v>2.0</v>
      </c>
      <c r="CC6" s="16">
        <v>54.0</v>
      </c>
      <c r="CD6" s="17">
        <f t="shared" si="17"/>
        <v>0.03703703704</v>
      </c>
      <c r="CE6" s="16">
        <v>14.0</v>
      </c>
      <c r="CF6" s="8">
        <v>279.0</v>
      </c>
      <c r="CG6" s="17">
        <f t="shared" si="18"/>
        <v>0.05017921147</v>
      </c>
      <c r="CH6" s="16">
        <v>3.0</v>
      </c>
      <c r="CI6" s="16">
        <v>18.0</v>
      </c>
      <c r="CJ6" s="17">
        <f t="shared" si="19"/>
        <v>0.1666666667</v>
      </c>
      <c r="CK6" s="16">
        <v>1.0</v>
      </c>
      <c r="CL6" s="16">
        <v>73.0</v>
      </c>
      <c r="CM6" s="17">
        <f t="shared" si="20"/>
        <v>0.01369863014</v>
      </c>
      <c r="CN6" s="16">
        <v>1.0</v>
      </c>
      <c r="CO6" s="16">
        <v>78.0</v>
      </c>
      <c r="CP6" s="17">
        <f t="shared" si="21"/>
        <v>0.01282051282</v>
      </c>
      <c r="CQ6" s="16">
        <v>9.0</v>
      </c>
      <c r="CR6" s="16">
        <v>559.0</v>
      </c>
      <c r="CS6" s="17">
        <f t="shared" si="22"/>
        <v>0.01610017889</v>
      </c>
      <c r="CT6" s="16">
        <v>6.0</v>
      </c>
      <c r="CU6" s="16">
        <v>127.0</v>
      </c>
      <c r="CV6" s="17">
        <f t="shared" si="23"/>
        <v>0.04724409449</v>
      </c>
      <c r="CW6" s="16">
        <v>2.0</v>
      </c>
      <c r="CX6" s="16">
        <v>54.0</v>
      </c>
      <c r="CY6" s="17">
        <f t="shared" si="24"/>
        <v>0.03703703704</v>
      </c>
      <c r="CZ6" s="16">
        <v>16.0</v>
      </c>
      <c r="DA6" s="16">
        <v>139.0</v>
      </c>
      <c r="DB6" s="17">
        <f t="shared" si="56"/>
        <v>0.1151079137</v>
      </c>
      <c r="DC6" s="16">
        <v>5.0</v>
      </c>
      <c r="DD6" s="16">
        <v>71.0</v>
      </c>
      <c r="DE6" s="17">
        <f t="shared" si="25"/>
        <v>0.07042253521</v>
      </c>
      <c r="DF6" s="16"/>
      <c r="DG6" s="16"/>
      <c r="DH6" s="17"/>
      <c r="DI6" s="16">
        <v>11.0</v>
      </c>
      <c r="DJ6" s="16">
        <v>176.0</v>
      </c>
      <c r="DK6" s="17">
        <f t="shared" si="26"/>
        <v>0.0625</v>
      </c>
      <c r="DL6" s="16">
        <v>5.0</v>
      </c>
      <c r="DM6" s="16">
        <v>23.0</v>
      </c>
      <c r="DN6" s="17">
        <f t="shared" si="27"/>
        <v>0.2173913043</v>
      </c>
      <c r="DO6" s="16">
        <v>1.0</v>
      </c>
      <c r="DP6" s="16">
        <v>90.0</v>
      </c>
      <c r="DQ6" s="17">
        <f t="shared" si="28"/>
        <v>0.01111111111</v>
      </c>
      <c r="DR6" s="16">
        <v>5.0</v>
      </c>
      <c r="DS6" s="16">
        <v>89.0</v>
      </c>
      <c r="DT6" s="17">
        <f t="shared" si="29"/>
        <v>0.05617977528</v>
      </c>
      <c r="DU6" s="16">
        <v>8.0</v>
      </c>
      <c r="DV6" s="16">
        <v>182.0</v>
      </c>
      <c r="DW6" s="17">
        <f t="shared" si="57"/>
        <v>0.04395604396</v>
      </c>
      <c r="DX6" s="16">
        <v>1.0</v>
      </c>
      <c r="DY6" s="16">
        <v>20.0</v>
      </c>
      <c r="DZ6" s="17">
        <f t="shared" si="30"/>
        <v>0.05</v>
      </c>
      <c r="EA6" s="22">
        <v>8.0</v>
      </c>
      <c r="EB6" s="16">
        <v>346.0</v>
      </c>
      <c r="EC6" s="17">
        <f t="shared" si="31"/>
        <v>0.02312138728</v>
      </c>
      <c r="ED6" s="16">
        <v>3.0</v>
      </c>
      <c r="EE6" s="16">
        <v>33.0</v>
      </c>
      <c r="EF6" s="17">
        <f t="shared" si="32"/>
        <v>0.09090909091</v>
      </c>
      <c r="EG6" s="16">
        <v>3.0</v>
      </c>
      <c r="EH6" s="16">
        <v>146.0</v>
      </c>
      <c r="EI6" s="17">
        <f t="shared" si="33"/>
        <v>0.02054794521</v>
      </c>
      <c r="EJ6" s="16">
        <v>6.0</v>
      </c>
      <c r="EK6" s="16">
        <v>457.0</v>
      </c>
      <c r="EL6" s="17">
        <f t="shared" si="34"/>
        <v>0.01312910284</v>
      </c>
      <c r="EM6" s="16">
        <v>0.0</v>
      </c>
      <c r="EN6" s="16">
        <v>18.0</v>
      </c>
      <c r="EO6" s="17">
        <f t="shared" si="35"/>
        <v>0</v>
      </c>
      <c r="EP6" s="16"/>
      <c r="EQ6" s="16"/>
      <c r="ER6" s="17"/>
      <c r="ES6" s="16">
        <v>3.0</v>
      </c>
      <c r="ET6" s="16">
        <v>86.0</v>
      </c>
      <c r="EU6" s="17">
        <f t="shared" si="36"/>
        <v>0.03488372093</v>
      </c>
      <c r="EV6" s="16"/>
      <c r="EW6" s="16">
        <v>46.0</v>
      </c>
      <c r="EX6" s="17"/>
      <c r="EY6" s="16">
        <v>27.0</v>
      </c>
      <c r="EZ6" s="16">
        <v>267.0</v>
      </c>
      <c r="FA6" s="17">
        <f t="shared" si="37"/>
        <v>0.1011235955</v>
      </c>
      <c r="FB6" s="16">
        <v>50.0</v>
      </c>
      <c r="FC6" s="16">
        <v>1477.0</v>
      </c>
      <c r="FD6" s="17">
        <f t="shared" si="38"/>
        <v>0.02721829069</v>
      </c>
      <c r="FE6" s="8">
        <v>13.0</v>
      </c>
      <c r="FF6" s="16">
        <v>115.0</v>
      </c>
      <c r="FG6" s="17">
        <f t="shared" si="39"/>
        <v>0.1130434783</v>
      </c>
      <c r="FH6" s="16">
        <v>14.0</v>
      </c>
      <c r="FI6" s="16">
        <v>126.0</v>
      </c>
      <c r="FJ6" s="17">
        <f t="shared" si="40"/>
        <v>0.1111111111</v>
      </c>
      <c r="FK6" s="16">
        <v>2.0</v>
      </c>
      <c r="FL6" s="16">
        <v>63.0</v>
      </c>
      <c r="FM6" s="17">
        <f t="shared" si="41"/>
        <v>0.03174603175</v>
      </c>
      <c r="FN6" s="16">
        <v>4.0</v>
      </c>
      <c r="FO6" s="16">
        <v>64.0</v>
      </c>
      <c r="FP6" s="17">
        <f t="shared" si="42"/>
        <v>0.0625</v>
      </c>
      <c r="FQ6" s="16">
        <v>9.0</v>
      </c>
      <c r="FR6" s="16">
        <v>69.0</v>
      </c>
      <c r="FS6" s="17">
        <f t="shared" si="43"/>
        <v>0.1304347826</v>
      </c>
      <c r="FT6" s="16">
        <v>5.0</v>
      </c>
      <c r="FU6" s="16"/>
      <c r="FV6" s="16"/>
      <c r="FW6" s="16">
        <v>2.0</v>
      </c>
      <c r="FX6" s="16">
        <v>28.0</v>
      </c>
      <c r="FY6" s="17">
        <f t="shared" si="44"/>
        <v>0.07142857143</v>
      </c>
      <c r="FZ6" s="16">
        <v>4.0</v>
      </c>
      <c r="GA6" s="16"/>
      <c r="GB6" s="16"/>
      <c r="GC6" s="16">
        <v>0.0</v>
      </c>
      <c r="GD6" s="16">
        <v>92.0</v>
      </c>
      <c r="GE6" s="17">
        <f t="shared" si="45"/>
        <v>0</v>
      </c>
      <c r="GF6" s="16">
        <v>3.0</v>
      </c>
      <c r="GG6" s="16">
        <v>125.0</v>
      </c>
      <c r="GH6" s="17">
        <f t="shared" si="46"/>
        <v>0.024</v>
      </c>
      <c r="GI6" s="16">
        <v>19.0</v>
      </c>
      <c r="GJ6" s="16">
        <v>369.0</v>
      </c>
      <c r="GK6" s="17">
        <f t="shared" si="47"/>
        <v>0.05149051491</v>
      </c>
      <c r="GL6" s="16">
        <v>0.0</v>
      </c>
      <c r="GM6" s="16">
        <v>15.0</v>
      </c>
      <c r="GN6" s="17">
        <f t="shared" si="48"/>
        <v>0</v>
      </c>
      <c r="GO6" s="16">
        <v>2.0</v>
      </c>
      <c r="GP6" s="16">
        <v>16.0</v>
      </c>
      <c r="GQ6" s="17">
        <f t="shared" si="49"/>
        <v>0.125</v>
      </c>
      <c r="GR6" s="16">
        <v>1.0</v>
      </c>
      <c r="GS6" s="16">
        <v>28.0</v>
      </c>
      <c r="GT6" s="17">
        <f t="shared" si="50"/>
        <v>0.03571428571</v>
      </c>
      <c r="GU6" s="8">
        <v>2.0</v>
      </c>
      <c r="GV6" s="16">
        <v>17.0</v>
      </c>
      <c r="GW6" s="17">
        <f t="shared" si="51"/>
        <v>0.1176470588</v>
      </c>
      <c r="GX6" s="16">
        <v>26.0</v>
      </c>
      <c r="GY6" s="16">
        <v>524.0</v>
      </c>
      <c r="GZ6" s="16"/>
      <c r="HA6" s="16">
        <v>7.0</v>
      </c>
      <c r="HB6" s="16">
        <v>167.0</v>
      </c>
      <c r="HC6" s="17">
        <f t="shared" si="52"/>
        <v>0.04191616766</v>
      </c>
      <c r="HD6" s="16"/>
      <c r="HE6" s="16"/>
      <c r="HF6" s="16"/>
    </row>
    <row r="7" ht="15.75" customHeight="1">
      <c r="A7" s="1">
        <f t="shared" si="58"/>
        <v>43922</v>
      </c>
      <c r="B7" s="8">
        <v>39.0</v>
      </c>
      <c r="C7" s="8">
        <v>616.0</v>
      </c>
      <c r="D7" s="9">
        <f t="shared" si="1"/>
        <v>0.06331168831</v>
      </c>
      <c r="E7" s="8">
        <v>1.0</v>
      </c>
      <c r="F7" s="8">
        <v>57.0</v>
      </c>
      <c r="G7" s="9">
        <f t="shared" si="2"/>
        <v>0.01754385965</v>
      </c>
      <c r="H7" s="8">
        <v>7.0</v>
      </c>
      <c r="I7" s="8">
        <v>488.0</v>
      </c>
      <c r="J7" s="9">
        <f t="shared" si="3"/>
        <v>0.0143442623</v>
      </c>
      <c r="M7" s="9"/>
      <c r="N7" s="8">
        <v>40.0</v>
      </c>
      <c r="O7" s="8">
        <v>659.0</v>
      </c>
      <c r="P7" s="9">
        <f t="shared" si="4"/>
        <v>0.06069802731</v>
      </c>
      <c r="T7" s="8">
        <v>20.0</v>
      </c>
      <c r="U7" s="8">
        <v>352.0</v>
      </c>
      <c r="V7" s="9">
        <f t="shared" si="53"/>
        <v>0.05681818182</v>
      </c>
      <c r="W7" s="8">
        <v>14.0</v>
      </c>
      <c r="X7" s="8">
        <v>388.0</v>
      </c>
      <c r="Y7" s="9">
        <f t="shared" si="5"/>
        <v>0.03608247423</v>
      </c>
      <c r="Z7" s="8">
        <v>3.0</v>
      </c>
      <c r="AA7" s="8">
        <v>200.0</v>
      </c>
      <c r="AB7" s="9">
        <f t="shared" si="54"/>
        <v>0.015</v>
      </c>
      <c r="AC7" s="8">
        <v>19.0</v>
      </c>
      <c r="AD7" s="8">
        <v>772.0</v>
      </c>
      <c r="AE7" s="9">
        <f t="shared" si="55"/>
        <v>0.02461139896</v>
      </c>
      <c r="AF7" s="8">
        <v>18.0</v>
      </c>
      <c r="AG7" s="8">
        <v>351.0</v>
      </c>
      <c r="AH7" s="9">
        <f t="shared" si="6"/>
        <v>0.05128205128</v>
      </c>
      <c r="AI7" s="10">
        <v>6.0</v>
      </c>
      <c r="AJ7" s="8">
        <v>323.0</v>
      </c>
      <c r="AK7" s="9">
        <f t="shared" si="7"/>
        <v>0.01857585139</v>
      </c>
      <c r="AL7" s="16">
        <v>11.0</v>
      </c>
      <c r="AM7" s="19">
        <v>249.0</v>
      </c>
      <c r="AN7" s="17">
        <f t="shared" si="8"/>
        <v>0.04417670683</v>
      </c>
      <c r="AO7" s="18">
        <v>3.0</v>
      </c>
      <c r="AP7" s="18">
        <v>119.0</v>
      </c>
      <c r="AQ7" s="17">
        <f t="shared" si="9"/>
        <v>0.02521008403</v>
      </c>
      <c r="AR7" s="17"/>
      <c r="AS7" s="16">
        <v>79.0</v>
      </c>
      <c r="AT7" s="17"/>
      <c r="AU7" s="17"/>
      <c r="AV7" s="17"/>
      <c r="AW7" s="17"/>
      <c r="AX7" s="21" t="s">
        <v>76</v>
      </c>
      <c r="AY7" s="21" t="s">
        <v>80</v>
      </c>
      <c r="AZ7" s="17">
        <f t="shared" si="10"/>
        <v>0.1</v>
      </c>
      <c r="BA7" s="8">
        <v>0.0</v>
      </c>
      <c r="BB7" s="16">
        <v>38.0</v>
      </c>
      <c r="BC7" s="17">
        <f t="shared" si="11"/>
        <v>0</v>
      </c>
      <c r="BD7" s="17"/>
      <c r="BE7" s="16">
        <v>6.0</v>
      </c>
      <c r="BF7" s="17"/>
      <c r="BG7" s="17"/>
      <c r="BH7" s="18">
        <v>55.0</v>
      </c>
      <c r="BI7" s="17"/>
      <c r="BJ7" s="8">
        <v>0.0</v>
      </c>
      <c r="BK7" s="18">
        <v>149.0</v>
      </c>
      <c r="BL7" s="17">
        <f t="shared" si="12"/>
        <v>0</v>
      </c>
      <c r="BM7" s="19">
        <v>0.0</v>
      </c>
      <c r="BN7" s="19">
        <v>34.0</v>
      </c>
      <c r="BO7" s="17">
        <f t="shared" si="13"/>
        <v>0</v>
      </c>
      <c r="BP7" s="16">
        <v>7.0</v>
      </c>
      <c r="BQ7" s="16">
        <v>82.0</v>
      </c>
      <c r="BR7" s="17">
        <f t="shared" si="14"/>
        <v>0.08536585366</v>
      </c>
      <c r="BS7" s="16">
        <v>3.0</v>
      </c>
      <c r="BT7" s="16">
        <v>78.0</v>
      </c>
      <c r="BU7" s="17">
        <f t="shared" si="15"/>
        <v>0.03846153846</v>
      </c>
      <c r="BV7" s="18">
        <v>2.0</v>
      </c>
      <c r="BW7" s="18">
        <v>58.0</v>
      </c>
      <c r="BX7" s="17">
        <f t="shared" si="16"/>
        <v>0.03448275862</v>
      </c>
      <c r="BY7" s="16">
        <v>1.0</v>
      </c>
      <c r="BZ7" s="16">
        <v>48.0</v>
      </c>
      <c r="CA7" s="13">
        <f t="shared" si="59"/>
        <v>0.02083333333</v>
      </c>
      <c r="CB7" s="18">
        <v>1.0</v>
      </c>
      <c r="CC7" s="16">
        <v>100.0</v>
      </c>
      <c r="CD7" s="17">
        <f t="shared" si="17"/>
        <v>0.01</v>
      </c>
      <c r="CE7" s="16">
        <v>6.0</v>
      </c>
      <c r="CF7" s="8">
        <v>303.0</v>
      </c>
      <c r="CG7" s="17">
        <f t="shared" si="18"/>
        <v>0.0198019802</v>
      </c>
      <c r="CH7" s="16">
        <v>4.0</v>
      </c>
      <c r="CI7" s="16">
        <v>17.0</v>
      </c>
      <c r="CJ7" s="17">
        <f t="shared" si="19"/>
        <v>0.2352941176</v>
      </c>
      <c r="CK7" s="16">
        <v>3.0</v>
      </c>
      <c r="CL7" s="16">
        <v>76.0</v>
      </c>
      <c r="CM7" s="17">
        <f t="shared" si="20"/>
        <v>0.03947368421</v>
      </c>
      <c r="CN7" s="16">
        <v>1.0</v>
      </c>
      <c r="CO7" s="16">
        <v>87.0</v>
      </c>
      <c r="CP7" s="17">
        <f t="shared" si="21"/>
        <v>0.01149425287</v>
      </c>
      <c r="CQ7" s="16">
        <v>7.0</v>
      </c>
      <c r="CR7" s="16">
        <v>609.0</v>
      </c>
      <c r="CS7" s="17">
        <f t="shared" si="22"/>
        <v>0.01149425287</v>
      </c>
      <c r="CT7" s="16">
        <v>6.0</v>
      </c>
      <c r="CU7" s="16">
        <v>134.0</v>
      </c>
      <c r="CV7" s="17">
        <f t="shared" si="23"/>
        <v>0.0447761194</v>
      </c>
      <c r="CW7" s="16">
        <v>1.0</v>
      </c>
      <c r="CX7" s="16">
        <v>100.0</v>
      </c>
      <c r="CY7" s="17">
        <f t="shared" si="24"/>
        <v>0.01</v>
      </c>
      <c r="CZ7" s="16">
        <v>12.0</v>
      </c>
      <c r="DA7" s="16">
        <v>104.0</v>
      </c>
      <c r="DB7" s="17">
        <f t="shared" si="56"/>
        <v>0.1153846154</v>
      </c>
      <c r="DC7" s="16">
        <v>1.0</v>
      </c>
      <c r="DD7" s="16">
        <v>54.0</v>
      </c>
      <c r="DE7" s="17">
        <f t="shared" si="25"/>
        <v>0.01851851852</v>
      </c>
      <c r="DF7" s="16"/>
      <c r="DG7" s="16"/>
      <c r="DH7" s="17"/>
      <c r="DI7" s="16">
        <v>6.0</v>
      </c>
      <c r="DJ7" s="16">
        <v>200.0</v>
      </c>
      <c r="DK7" s="17">
        <f t="shared" si="26"/>
        <v>0.03</v>
      </c>
      <c r="DL7" s="16">
        <v>3.0</v>
      </c>
      <c r="DM7" s="16">
        <v>26.0</v>
      </c>
      <c r="DN7" s="17">
        <f t="shared" si="27"/>
        <v>0.1153846154</v>
      </c>
      <c r="DO7" s="16">
        <v>2.0</v>
      </c>
      <c r="DP7" s="16">
        <v>67.0</v>
      </c>
      <c r="DQ7" s="17">
        <f t="shared" si="28"/>
        <v>0.02985074627</v>
      </c>
      <c r="DR7" s="16">
        <v>4.0</v>
      </c>
      <c r="DS7" s="16">
        <v>56.0</v>
      </c>
      <c r="DT7" s="17">
        <f t="shared" si="29"/>
        <v>0.07142857143</v>
      </c>
      <c r="DU7" s="16">
        <v>9.0</v>
      </c>
      <c r="DV7" s="16">
        <v>190.0</v>
      </c>
      <c r="DW7" s="17">
        <f t="shared" si="57"/>
        <v>0.04736842105</v>
      </c>
      <c r="DX7" s="16">
        <v>0.0</v>
      </c>
      <c r="DY7" s="16">
        <v>18.0</v>
      </c>
      <c r="DZ7" s="17">
        <f t="shared" si="30"/>
        <v>0</v>
      </c>
      <c r="EA7" s="22">
        <v>13.0</v>
      </c>
      <c r="EB7" s="16">
        <v>340.0</v>
      </c>
      <c r="EC7" s="17">
        <f t="shared" si="31"/>
        <v>0.03823529412</v>
      </c>
      <c r="ED7" s="16">
        <v>1.0</v>
      </c>
      <c r="EE7" s="16">
        <v>33.0</v>
      </c>
      <c r="EF7" s="17">
        <f t="shared" si="32"/>
        <v>0.0303030303</v>
      </c>
      <c r="EG7" s="16">
        <v>3.0</v>
      </c>
      <c r="EH7" s="16">
        <v>109.0</v>
      </c>
      <c r="EI7" s="17">
        <f t="shared" si="33"/>
        <v>0.02752293578</v>
      </c>
      <c r="EJ7" s="16">
        <v>11.0</v>
      </c>
      <c r="EK7" s="16">
        <v>548.0</v>
      </c>
      <c r="EL7" s="17">
        <f t="shared" si="34"/>
        <v>0.0200729927</v>
      </c>
      <c r="EM7" s="16">
        <v>0.0</v>
      </c>
      <c r="EN7" s="16">
        <v>6.0</v>
      </c>
      <c r="EO7" s="17">
        <f t="shared" si="35"/>
        <v>0</v>
      </c>
      <c r="EP7" s="16"/>
      <c r="EQ7" s="16"/>
      <c r="ER7" s="17"/>
      <c r="ES7" s="16">
        <v>2.0</v>
      </c>
      <c r="ET7" s="16">
        <v>66.0</v>
      </c>
      <c r="EU7" s="17">
        <f t="shared" si="36"/>
        <v>0.0303030303</v>
      </c>
      <c r="EV7" s="16"/>
      <c r="EW7" s="16">
        <v>50.0</v>
      </c>
      <c r="EX7" s="17"/>
      <c r="EY7" s="16">
        <v>17.0</v>
      </c>
      <c r="EZ7" s="16">
        <v>237.0</v>
      </c>
      <c r="FA7" s="17">
        <f t="shared" si="37"/>
        <v>0.07172995781</v>
      </c>
      <c r="FB7" s="16">
        <v>51.0</v>
      </c>
      <c r="FC7" s="16">
        <v>1837.0</v>
      </c>
      <c r="FD7" s="17">
        <f t="shared" si="38"/>
        <v>0.0275974026</v>
      </c>
      <c r="FE7" s="8">
        <v>6.0</v>
      </c>
      <c r="FF7" s="16">
        <v>104.0</v>
      </c>
      <c r="FG7" s="17">
        <f t="shared" si="39"/>
        <v>0.05769230769</v>
      </c>
      <c r="FH7" s="16">
        <v>7.0</v>
      </c>
      <c r="FI7" s="16">
        <v>113.0</v>
      </c>
      <c r="FJ7" s="17">
        <f t="shared" si="40"/>
        <v>0.06194690265</v>
      </c>
      <c r="FK7" s="16">
        <v>0.0</v>
      </c>
      <c r="FL7" s="16">
        <v>69.0</v>
      </c>
      <c r="FM7" s="17">
        <f t="shared" si="41"/>
        <v>0</v>
      </c>
      <c r="FN7" s="16">
        <v>7.0</v>
      </c>
      <c r="FO7" s="16">
        <v>58.0</v>
      </c>
      <c r="FP7" s="17">
        <f t="shared" si="42"/>
        <v>0.1206896552</v>
      </c>
      <c r="FQ7" s="16">
        <v>4.0</v>
      </c>
      <c r="FR7" s="16">
        <v>69.0</v>
      </c>
      <c r="FS7" s="17">
        <f t="shared" si="43"/>
        <v>0.05797101449</v>
      </c>
      <c r="FT7" s="16">
        <v>3.0</v>
      </c>
      <c r="FU7" s="16"/>
      <c r="FV7" s="16"/>
      <c r="FW7" s="16">
        <v>5.0</v>
      </c>
      <c r="FX7" s="16">
        <v>27.0</v>
      </c>
      <c r="FY7" s="17">
        <f t="shared" si="44"/>
        <v>0.1851851852</v>
      </c>
      <c r="FZ7" s="16">
        <v>5.0</v>
      </c>
      <c r="GA7" s="16"/>
      <c r="GB7" s="16"/>
      <c r="GC7" s="16">
        <v>1.0</v>
      </c>
      <c r="GD7" s="16">
        <v>102.0</v>
      </c>
      <c r="GE7" s="17">
        <f t="shared" si="45"/>
        <v>0.009803921569</v>
      </c>
      <c r="GF7" s="16">
        <v>6.0</v>
      </c>
      <c r="GG7" s="16">
        <v>122.0</v>
      </c>
      <c r="GH7" s="17">
        <f t="shared" si="46"/>
        <v>0.04918032787</v>
      </c>
      <c r="GI7" s="16">
        <v>19.0</v>
      </c>
      <c r="GJ7" s="16">
        <v>314.0</v>
      </c>
      <c r="GK7" s="17">
        <f t="shared" si="47"/>
        <v>0.06050955414</v>
      </c>
      <c r="GL7" s="16">
        <v>0.0</v>
      </c>
      <c r="GM7" s="16">
        <v>10.0</v>
      </c>
      <c r="GN7" s="17">
        <f t="shared" si="48"/>
        <v>0</v>
      </c>
      <c r="GO7" s="16">
        <v>3.0</v>
      </c>
      <c r="GP7" s="16">
        <v>12.0</v>
      </c>
      <c r="GQ7" s="17">
        <f t="shared" si="49"/>
        <v>0.25</v>
      </c>
      <c r="GR7" s="16">
        <v>1.0</v>
      </c>
      <c r="GS7" s="16">
        <v>28.0</v>
      </c>
      <c r="GT7" s="17">
        <f t="shared" si="50"/>
        <v>0.03571428571</v>
      </c>
      <c r="GU7" s="8">
        <v>3.0</v>
      </c>
      <c r="GV7" s="16">
        <v>13.0</v>
      </c>
      <c r="GW7" s="17">
        <f t="shared" si="51"/>
        <v>0.2307692308</v>
      </c>
      <c r="GX7" s="16">
        <v>21.0</v>
      </c>
      <c r="GY7" s="16">
        <v>541.0</v>
      </c>
      <c r="GZ7" s="16"/>
      <c r="HA7" s="16">
        <v>7.0</v>
      </c>
      <c r="HB7" s="16">
        <v>163.0</v>
      </c>
      <c r="HC7" s="17">
        <f t="shared" si="52"/>
        <v>0.04294478528</v>
      </c>
      <c r="HD7" s="16"/>
      <c r="HE7" s="16"/>
      <c r="HF7" s="16"/>
    </row>
    <row r="8" ht="15.75" customHeight="1">
      <c r="A8" s="1">
        <f t="shared" si="58"/>
        <v>43952</v>
      </c>
      <c r="B8" s="8">
        <v>37.0</v>
      </c>
      <c r="C8" s="8">
        <v>692.0</v>
      </c>
      <c r="D8" s="9">
        <f t="shared" si="1"/>
        <v>0.05346820809</v>
      </c>
      <c r="E8" s="8">
        <v>1.0</v>
      </c>
      <c r="F8" s="8">
        <v>62.0</v>
      </c>
      <c r="G8" s="9">
        <f t="shared" si="2"/>
        <v>0.01612903226</v>
      </c>
      <c r="H8" s="8">
        <v>7.0</v>
      </c>
      <c r="I8" s="8">
        <v>387.0</v>
      </c>
      <c r="J8" s="9">
        <f t="shared" si="3"/>
        <v>0.0180878553</v>
      </c>
      <c r="M8" s="9"/>
      <c r="N8" s="8">
        <v>70.0</v>
      </c>
      <c r="O8" s="8">
        <v>829.0</v>
      </c>
      <c r="P8" s="9">
        <f t="shared" si="4"/>
        <v>0.08443908323</v>
      </c>
      <c r="T8" s="8">
        <v>11.0</v>
      </c>
      <c r="U8" s="8">
        <v>324.0</v>
      </c>
      <c r="V8" s="9">
        <f t="shared" si="53"/>
        <v>0.03395061728</v>
      </c>
      <c r="W8" s="8">
        <v>13.0</v>
      </c>
      <c r="X8" s="8">
        <v>413.0</v>
      </c>
      <c r="Y8" s="9">
        <f t="shared" si="5"/>
        <v>0.03147699758</v>
      </c>
      <c r="Z8" s="8">
        <v>5.0</v>
      </c>
      <c r="AA8" s="8">
        <v>233.0</v>
      </c>
      <c r="AB8" s="9">
        <f t="shared" si="54"/>
        <v>0.02145922747</v>
      </c>
      <c r="AC8" s="8">
        <v>24.0</v>
      </c>
      <c r="AD8" s="8">
        <v>760.0</v>
      </c>
      <c r="AE8" s="9">
        <f t="shared" si="55"/>
        <v>0.03157894737</v>
      </c>
      <c r="AF8" s="8">
        <v>12.0</v>
      </c>
      <c r="AG8" s="8">
        <v>350.0</v>
      </c>
      <c r="AH8" s="9">
        <f t="shared" si="6"/>
        <v>0.03428571429</v>
      </c>
      <c r="AI8" s="10">
        <v>9.0</v>
      </c>
      <c r="AJ8" s="8">
        <v>377.0</v>
      </c>
      <c r="AK8" s="9">
        <f t="shared" si="7"/>
        <v>0.02387267905</v>
      </c>
      <c r="AL8" s="16">
        <v>14.0</v>
      </c>
      <c r="AM8" s="16">
        <v>219.0</v>
      </c>
      <c r="AN8" s="17">
        <f t="shared" si="8"/>
        <v>0.06392694064</v>
      </c>
      <c r="AO8" s="18">
        <v>3.0</v>
      </c>
      <c r="AP8" s="18">
        <v>123.0</v>
      </c>
      <c r="AQ8" s="17">
        <f t="shared" si="9"/>
        <v>0.0243902439</v>
      </c>
      <c r="AR8" s="17"/>
      <c r="AS8" s="16">
        <v>95.0</v>
      </c>
      <c r="AT8" s="17"/>
      <c r="AU8" s="17"/>
      <c r="AV8" s="17"/>
      <c r="AW8" s="17"/>
      <c r="AX8" s="21" t="s">
        <v>81</v>
      </c>
      <c r="AY8" s="21" t="s">
        <v>82</v>
      </c>
      <c r="AZ8" s="17">
        <f t="shared" si="10"/>
        <v>0.01785714286</v>
      </c>
      <c r="BA8" s="16">
        <v>1.0</v>
      </c>
      <c r="BB8" s="16">
        <v>42.0</v>
      </c>
      <c r="BC8" s="17">
        <f t="shared" si="11"/>
        <v>0.02380952381</v>
      </c>
      <c r="BD8" s="17"/>
      <c r="BE8" s="16">
        <v>5.0</v>
      </c>
      <c r="BF8" s="17"/>
      <c r="BG8" s="17"/>
      <c r="BH8" s="18">
        <v>33.0</v>
      </c>
      <c r="BI8" s="17"/>
      <c r="BJ8" s="18">
        <v>4.0</v>
      </c>
      <c r="BK8" s="18">
        <v>154.0</v>
      </c>
      <c r="BL8" s="17">
        <f t="shared" si="12"/>
        <v>0.02597402597</v>
      </c>
      <c r="BM8" s="19">
        <v>0.0</v>
      </c>
      <c r="BN8" s="19">
        <v>29.0</v>
      </c>
      <c r="BO8" s="17">
        <f t="shared" si="13"/>
        <v>0</v>
      </c>
      <c r="BP8" s="16">
        <v>3.0</v>
      </c>
      <c r="BQ8" s="16">
        <v>83.0</v>
      </c>
      <c r="BR8" s="17">
        <f t="shared" si="14"/>
        <v>0.03614457831</v>
      </c>
      <c r="BS8" s="16">
        <v>3.0</v>
      </c>
      <c r="BT8" s="16">
        <v>95.0</v>
      </c>
      <c r="BU8" s="17">
        <f t="shared" si="15"/>
        <v>0.03157894737</v>
      </c>
      <c r="BV8" s="18">
        <v>2.0</v>
      </c>
      <c r="BW8" s="18">
        <v>76.0</v>
      </c>
      <c r="BX8" s="17">
        <f t="shared" si="16"/>
        <v>0.02631578947</v>
      </c>
      <c r="BY8" s="16">
        <v>2.0</v>
      </c>
      <c r="BZ8" s="16">
        <v>77.0</v>
      </c>
      <c r="CA8" s="13">
        <f t="shared" si="59"/>
        <v>0.02597402597</v>
      </c>
      <c r="CB8" s="18">
        <v>1.0</v>
      </c>
      <c r="CC8" s="16">
        <v>103.0</v>
      </c>
      <c r="CD8" s="17">
        <f t="shared" si="17"/>
        <v>0.009708737864</v>
      </c>
      <c r="CE8" s="16">
        <v>14.0</v>
      </c>
      <c r="CF8" s="8">
        <v>329.0</v>
      </c>
      <c r="CG8" s="17">
        <f t="shared" si="18"/>
        <v>0.04255319149</v>
      </c>
      <c r="CH8" s="16">
        <v>1.0</v>
      </c>
      <c r="CI8" s="16">
        <v>14.0</v>
      </c>
      <c r="CJ8" s="17">
        <f t="shared" si="19"/>
        <v>0.07142857143</v>
      </c>
      <c r="CK8" s="16">
        <v>4.0</v>
      </c>
      <c r="CL8" s="16">
        <v>91.0</v>
      </c>
      <c r="CM8" s="17">
        <f t="shared" si="20"/>
        <v>0.04395604396</v>
      </c>
      <c r="CN8" s="16">
        <v>2.0</v>
      </c>
      <c r="CO8" s="16">
        <v>78.0</v>
      </c>
      <c r="CP8" s="17">
        <f t="shared" si="21"/>
        <v>0.02564102564</v>
      </c>
      <c r="CQ8" s="16">
        <v>13.0</v>
      </c>
      <c r="CR8" s="16">
        <v>619.0</v>
      </c>
      <c r="CS8" s="17">
        <f t="shared" si="22"/>
        <v>0.02100161551</v>
      </c>
      <c r="CT8" s="16">
        <v>3.0</v>
      </c>
      <c r="CU8" s="16">
        <v>131.0</v>
      </c>
      <c r="CV8" s="17">
        <f t="shared" si="23"/>
        <v>0.02290076336</v>
      </c>
      <c r="CW8" s="16">
        <v>1.0</v>
      </c>
      <c r="CX8" s="16">
        <v>103.0</v>
      </c>
      <c r="CY8" s="17">
        <f t="shared" si="24"/>
        <v>0.009708737864</v>
      </c>
      <c r="CZ8" s="16">
        <v>9.0</v>
      </c>
      <c r="DA8" s="16">
        <v>120.0</v>
      </c>
      <c r="DB8" s="17">
        <f t="shared" si="56"/>
        <v>0.075</v>
      </c>
      <c r="DC8" s="16">
        <v>1.0</v>
      </c>
      <c r="DD8" s="16">
        <v>44.0</v>
      </c>
      <c r="DE8" s="17">
        <f t="shared" si="25"/>
        <v>0.02272727273</v>
      </c>
      <c r="DF8" s="16"/>
      <c r="DG8" s="16"/>
      <c r="DH8" s="17"/>
      <c r="DI8" s="16">
        <v>7.0</v>
      </c>
      <c r="DJ8" s="16">
        <v>181.0</v>
      </c>
      <c r="DK8" s="17">
        <f t="shared" si="26"/>
        <v>0.03867403315</v>
      </c>
      <c r="DL8" s="16">
        <v>1.0</v>
      </c>
      <c r="DM8" s="16">
        <v>25.0</v>
      </c>
      <c r="DN8" s="17">
        <f t="shared" si="27"/>
        <v>0.04</v>
      </c>
      <c r="DO8" s="16">
        <v>4.0</v>
      </c>
      <c r="DP8" s="16">
        <v>89.0</v>
      </c>
      <c r="DQ8" s="17">
        <f t="shared" si="28"/>
        <v>0.04494382022</v>
      </c>
      <c r="DR8" s="16">
        <v>3.0</v>
      </c>
      <c r="DS8" s="16">
        <v>65.0</v>
      </c>
      <c r="DT8" s="17">
        <f t="shared" si="29"/>
        <v>0.04615384615</v>
      </c>
      <c r="DU8" s="16">
        <v>7.0</v>
      </c>
      <c r="DV8" s="16">
        <v>238.0</v>
      </c>
      <c r="DW8" s="17">
        <f t="shared" si="57"/>
        <v>0.02941176471</v>
      </c>
      <c r="DX8" s="16">
        <v>2.0</v>
      </c>
      <c r="DY8" s="16">
        <v>24.0</v>
      </c>
      <c r="DZ8" s="17">
        <f t="shared" si="30"/>
        <v>0.08333333333</v>
      </c>
      <c r="EA8" s="22">
        <v>6.0</v>
      </c>
      <c r="EB8" s="16">
        <v>322.0</v>
      </c>
      <c r="EC8" s="17">
        <f t="shared" si="31"/>
        <v>0.01863354037</v>
      </c>
      <c r="ED8" s="16">
        <v>2.0</v>
      </c>
      <c r="EE8" s="16">
        <v>38.0</v>
      </c>
      <c r="EF8" s="17">
        <f t="shared" si="32"/>
        <v>0.05263157895</v>
      </c>
      <c r="EG8" s="16">
        <v>1.0</v>
      </c>
      <c r="EH8" s="16">
        <v>99.0</v>
      </c>
      <c r="EI8" s="17">
        <f t="shared" si="33"/>
        <v>0.0101010101</v>
      </c>
      <c r="EJ8" s="16">
        <v>4.0</v>
      </c>
      <c r="EK8" s="16">
        <v>619.0</v>
      </c>
      <c r="EL8" s="17">
        <f t="shared" si="34"/>
        <v>0.006462035541</v>
      </c>
      <c r="EM8" s="16">
        <v>1.0</v>
      </c>
      <c r="EN8" s="16">
        <v>14.0</v>
      </c>
      <c r="EO8" s="17">
        <f t="shared" si="35"/>
        <v>0.07142857143</v>
      </c>
      <c r="EP8" s="16"/>
      <c r="EQ8" s="16"/>
      <c r="ER8" s="17"/>
      <c r="ES8" s="16">
        <v>1.0</v>
      </c>
      <c r="ET8" s="16">
        <v>73.0</v>
      </c>
      <c r="EU8" s="17">
        <f t="shared" si="36"/>
        <v>0.01369863014</v>
      </c>
      <c r="EV8" s="16"/>
      <c r="EW8" s="16">
        <v>48.0</v>
      </c>
      <c r="EX8" s="17"/>
      <c r="EY8" s="16">
        <v>12.0</v>
      </c>
      <c r="EZ8" s="16">
        <v>230.0</v>
      </c>
      <c r="FA8" s="17">
        <f t="shared" si="37"/>
        <v>0.05217391304</v>
      </c>
      <c r="FB8" s="16">
        <v>61.0</v>
      </c>
      <c r="FC8" s="16">
        <v>1848.0</v>
      </c>
      <c r="FD8" s="17">
        <f t="shared" si="38"/>
        <v>0.02918660287</v>
      </c>
      <c r="FE8" s="8">
        <v>4.0</v>
      </c>
      <c r="FF8" s="16">
        <v>103.0</v>
      </c>
      <c r="FG8" s="17">
        <f t="shared" si="39"/>
        <v>0.03883495146</v>
      </c>
      <c r="FH8" s="16">
        <v>6.0</v>
      </c>
      <c r="FI8" s="16">
        <v>103.0</v>
      </c>
      <c r="FJ8" s="17">
        <f t="shared" si="40"/>
        <v>0.05825242718</v>
      </c>
      <c r="FK8" s="16">
        <v>0.0</v>
      </c>
      <c r="FL8" s="16">
        <v>54.0</v>
      </c>
      <c r="FM8" s="17">
        <f t="shared" si="41"/>
        <v>0</v>
      </c>
      <c r="FN8" s="16">
        <v>8.0</v>
      </c>
      <c r="FO8" s="16">
        <v>57.0</v>
      </c>
      <c r="FP8" s="17">
        <f t="shared" si="42"/>
        <v>0.1403508772</v>
      </c>
      <c r="FQ8" s="16">
        <v>10.0</v>
      </c>
      <c r="FR8" s="16">
        <v>66.0</v>
      </c>
      <c r="FS8" s="17">
        <f t="shared" si="43"/>
        <v>0.1515151515</v>
      </c>
      <c r="FT8" s="16">
        <v>3.0</v>
      </c>
      <c r="FU8" s="16"/>
      <c r="FV8" s="16"/>
      <c r="FW8" s="16">
        <v>2.0</v>
      </c>
      <c r="FX8" s="16">
        <v>22.0</v>
      </c>
      <c r="FY8" s="17">
        <f t="shared" si="44"/>
        <v>0.09090909091</v>
      </c>
      <c r="FZ8" s="16">
        <v>3.0</v>
      </c>
      <c r="GA8" s="16"/>
      <c r="GB8" s="16"/>
      <c r="GC8" s="16">
        <v>1.0</v>
      </c>
      <c r="GD8" s="16">
        <v>81.0</v>
      </c>
      <c r="GE8" s="17">
        <f t="shared" si="45"/>
        <v>0.01234567901</v>
      </c>
      <c r="GF8" s="16">
        <v>3.0</v>
      </c>
      <c r="GG8" s="16">
        <v>129.0</v>
      </c>
      <c r="GH8" s="17">
        <f t="shared" si="46"/>
        <v>0.02325581395</v>
      </c>
      <c r="GI8" s="16">
        <v>23.0</v>
      </c>
      <c r="GJ8" s="16">
        <v>300.0</v>
      </c>
      <c r="GK8" s="17">
        <f t="shared" si="47"/>
        <v>0.07666666667</v>
      </c>
      <c r="GL8" s="16">
        <v>0.0</v>
      </c>
      <c r="GM8" s="16">
        <v>17.0</v>
      </c>
      <c r="GN8" s="17">
        <f t="shared" si="48"/>
        <v>0</v>
      </c>
      <c r="GO8" s="16">
        <v>2.0</v>
      </c>
      <c r="GP8" s="16">
        <v>6.0</v>
      </c>
      <c r="GQ8" s="17">
        <f t="shared" si="49"/>
        <v>0.3333333333</v>
      </c>
      <c r="GR8" s="16">
        <v>2.0</v>
      </c>
      <c r="GS8" s="16">
        <v>33.0</v>
      </c>
      <c r="GT8" s="17">
        <f t="shared" si="50"/>
        <v>0.06060606061</v>
      </c>
      <c r="GU8" s="8">
        <v>0.0</v>
      </c>
      <c r="GV8" s="16">
        <v>9.0</v>
      </c>
      <c r="GW8" s="17">
        <f t="shared" si="51"/>
        <v>0</v>
      </c>
      <c r="GX8" s="16">
        <v>27.0</v>
      </c>
      <c r="GY8" s="16">
        <v>633.0</v>
      </c>
      <c r="GZ8" s="16"/>
      <c r="HA8" s="16">
        <v>6.0</v>
      </c>
      <c r="HB8" s="16">
        <v>173.0</v>
      </c>
      <c r="HC8" s="17">
        <f t="shared" si="52"/>
        <v>0.03468208092</v>
      </c>
      <c r="HD8" s="16"/>
      <c r="HE8" s="16"/>
      <c r="HF8" s="16"/>
    </row>
    <row r="9" ht="15.75" customHeight="1">
      <c r="A9" s="1">
        <f t="shared" si="58"/>
        <v>43983</v>
      </c>
      <c r="B9" s="8">
        <v>57.0</v>
      </c>
      <c r="C9" s="8">
        <v>747.0</v>
      </c>
      <c r="D9" s="9">
        <f t="shared" si="1"/>
        <v>0.07630522088</v>
      </c>
      <c r="E9" s="8">
        <v>8.0</v>
      </c>
      <c r="F9" s="8">
        <v>77.0</v>
      </c>
      <c r="G9" s="9">
        <f t="shared" si="2"/>
        <v>0.1038961039</v>
      </c>
      <c r="H9" s="8">
        <v>11.0</v>
      </c>
      <c r="I9" s="8">
        <v>423.0</v>
      </c>
      <c r="J9" s="9">
        <f t="shared" si="3"/>
        <v>0.02600472813</v>
      </c>
      <c r="M9" s="9"/>
      <c r="N9" s="8">
        <v>57.0</v>
      </c>
      <c r="O9" s="8">
        <v>794.0</v>
      </c>
      <c r="P9" s="9">
        <f t="shared" si="4"/>
        <v>0.0717884131</v>
      </c>
      <c r="T9" s="8">
        <v>23.0</v>
      </c>
      <c r="U9" s="8">
        <v>423.0</v>
      </c>
      <c r="V9" s="9">
        <f t="shared" si="53"/>
        <v>0.05437352246</v>
      </c>
      <c r="W9" s="8">
        <v>35.0</v>
      </c>
      <c r="X9" s="8">
        <v>456.0</v>
      </c>
      <c r="Y9" s="9">
        <f t="shared" si="5"/>
        <v>0.07675438596</v>
      </c>
      <c r="Z9" s="8">
        <v>4.0</v>
      </c>
      <c r="AA9" s="8">
        <v>241.0</v>
      </c>
      <c r="AB9" s="9">
        <f t="shared" si="54"/>
        <v>0.01659751037</v>
      </c>
      <c r="AC9" s="8">
        <v>25.0</v>
      </c>
      <c r="AD9" s="8">
        <v>928.0</v>
      </c>
      <c r="AE9" s="9">
        <f t="shared" si="55"/>
        <v>0.02693965517</v>
      </c>
      <c r="AF9" s="8">
        <v>15.0</v>
      </c>
      <c r="AG9" s="8">
        <v>351.0</v>
      </c>
      <c r="AH9" s="9">
        <f t="shared" si="6"/>
        <v>0.04273504274</v>
      </c>
      <c r="AI9" s="10">
        <v>7.0</v>
      </c>
      <c r="AJ9" s="8">
        <v>356.0</v>
      </c>
      <c r="AK9" s="9">
        <f t="shared" si="7"/>
        <v>0.01966292135</v>
      </c>
      <c r="AL9" s="16">
        <v>13.0</v>
      </c>
      <c r="AM9" s="16">
        <v>294.0</v>
      </c>
      <c r="AN9" s="17">
        <f t="shared" si="8"/>
        <v>0.04421768707</v>
      </c>
      <c r="AO9" s="18">
        <v>3.0</v>
      </c>
      <c r="AP9" s="18">
        <v>111.0</v>
      </c>
      <c r="AQ9" s="17">
        <f t="shared" si="9"/>
        <v>0.02702702703</v>
      </c>
      <c r="AR9" s="17"/>
      <c r="AS9" s="16">
        <v>96.0</v>
      </c>
      <c r="AT9" s="17"/>
      <c r="AU9" s="17"/>
      <c r="AV9" s="17"/>
      <c r="AW9" s="17"/>
      <c r="AX9" s="21" t="s">
        <v>74</v>
      </c>
      <c r="AY9" s="21" t="s">
        <v>83</v>
      </c>
      <c r="AZ9" s="17">
        <f t="shared" si="10"/>
        <v>0.05660377358</v>
      </c>
      <c r="BA9" s="16">
        <v>0.0</v>
      </c>
      <c r="BB9" s="16">
        <v>57.0</v>
      </c>
      <c r="BC9" s="17">
        <f t="shared" si="11"/>
        <v>0</v>
      </c>
      <c r="BD9" s="17"/>
      <c r="BE9" s="16">
        <v>15.0</v>
      </c>
      <c r="BF9" s="17"/>
      <c r="BG9" s="17"/>
      <c r="BH9" s="18">
        <v>58.0</v>
      </c>
      <c r="BI9" s="17"/>
      <c r="BJ9" s="18">
        <v>2.0</v>
      </c>
      <c r="BK9" s="18">
        <v>204.0</v>
      </c>
      <c r="BL9" s="17">
        <f t="shared" si="12"/>
        <v>0.009803921569</v>
      </c>
      <c r="BM9" s="19">
        <v>1.0</v>
      </c>
      <c r="BN9" s="19">
        <v>34.0</v>
      </c>
      <c r="BO9" s="17">
        <f t="shared" si="13"/>
        <v>0.02941176471</v>
      </c>
      <c r="BP9" s="16">
        <v>4.0</v>
      </c>
      <c r="BQ9" s="16">
        <v>98.0</v>
      </c>
      <c r="BR9" s="17">
        <f t="shared" si="14"/>
        <v>0.04081632653</v>
      </c>
      <c r="BS9" s="16">
        <v>14.0</v>
      </c>
      <c r="BT9" s="16">
        <v>120.0</v>
      </c>
      <c r="BU9" s="17">
        <f t="shared" si="15"/>
        <v>0.1166666667</v>
      </c>
      <c r="BV9" s="18">
        <v>3.0</v>
      </c>
      <c r="BW9" s="18">
        <v>90.0</v>
      </c>
      <c r="BX9" s="17">
        <f t="shared" si="16"/>
        <v>0.03333333333</v>
      </c>
      <c r="BY9" s="16">
        <v>2.0</v>
      </c>
      <c r="BZ9" s="16">
        <v>82.0</v>
      </c>
      <c r="CA9" s="13">
        <f t="shared" si="59"/>
        <v>0.0243902439</v>
      </c>
      <c r="CB9" s="18">
        <v>1.0</v>
      </c>
      <c r="CC9" s="16">
        <v>112.0</v>
      </c>
      <c r="CD9" s="17">
        <f t="shared" si="17"/>
        <v>0.008928571429</v>
      </c>
      <c r="CE9" s="16">
        <v>6.0</v>
      </c>
      <c r="CF9" s="8">
        <v>362.0</v>
      </c>
      <c r="CG9" s="17">
        <f t="shared" si="18"/>
        <v>0.01657458564</v>
      </c>
      <c r="CH9" s="16">
        <v>1.0</v>
      </c>
      <c r="CI9" s="16">
        <v>8.0</v>
      </c>
      <c r="CJ9" s="17">
        <f t="shared" si="19"/>
        <v>0.125</v>
      </c>
      <c r="CK9" s="16">
        <v>3.0</v>
      </c>
      <c r="CL9" s="16">
        <v>87.0</v>
      </c>
      <c r="CM9" s="17">
        <f t="shared" si="20"/>
        <v>0.03448275862</v>
      </c>
      <c r="CN9" s="16">
        <v>0.0</v>
      </c>
      <c r="CO9" s="16">
        <v>94.0</v>
      </c>
      <c r="CP9" s="17">
        <f t="shared" si="21"/>
        <v>0</v>
      </c>
      <c r="CQ9" s="16">
        <v>8.0</v>
      </c>
      <c r="CR9" s="16">
        <v>621.0</v>
      </c>
      <c r="CS9" s="17">
        <f t="shared" si="22"/>
        <v>0.01288244767</v>
      </c>
      <c r="CT9" s="16">
        <v>6.0</v>
      </c>
      <c r="CU9" s="16">
        <v>142.0</v>
      </c>
      <c r="CV9" s="17">
        <f t="shared" si="23"/>
        <v>0.04225352113</v>
      </c>
      <c r="CW9" s="16">
        <v>1.0</v>
      </c>
      <c r="CX9" s="16">
        <v>112.0</v>
      </c>
      <c r="CY9" s="17">
        <f t="shared" si="24"/>
        <v>0.008928571429</v>
      </c>
      <c r="CZ9" s="16">
        <v>17.0</v>
      </c>
      <c r="DA9" s="16">
        <v>145.0</v>
      </c>
      <c r="DB9" s="17">
        <f t="shared" si="56"/>
        <v>0.1172413793</v>
      </c>
      <c r="DC9" s="16">
        <v>1.0</v>
      </c>
      <c r="DD9" s="16">
        <v>64.0</v>
      </c>
      <c r="DE9" s="17">
        <f t="shared" si="25"/>
        <v>0.015625</v>
      </c>
      <c r="DF9" s="16"/>
      <c r="DG9" s="16"/>
      <c r="DH9" s="17"/>
      <c r="DI9" s="16">
        <v>3.0</v>
      </c>
      <c r="DJ9" s="16">
        <v>202.0</v>
      </c>
      <c r="DK9" s="17">
        <f t="shared" si="26"/>
        <v>0.01485148515</v>
      </c>
      <c r="DL9" s="16">
        <v>1.0</v>
      </c>
      <c r="DM9" s="16">
        <v>40.0</v>
      </c>
      <c r="DN9" s="17">
        <f t="shared" si="27"/>
        <v>0.025</v>
      </c>
      <c r="DO9" s="16">
        <v>2.0</v>
      </c>
      <c r="DP9" s="16">
        <v>98.0</v>
      </c>
      <c r="DQ9" s="17">
        <f t="shared" si="28"/>
        <v>0.02040816327</v>
      </c>
      <c r="DR9" s="16">
        <v>3.0</v>
      </c>
      <c r="DS9" s="16">
        <v>66.0</v>
      </c>
      <c r="DT9" s="17">
        <f t="shared" si="29"/>
        <v>0.04545454545</v>
      </c>
      <c r="DU9" s="16">
        <v>12.0</v>
      </c>
      <c r="DV9" s="16">
        <v>280.0</v>
      </c>
      <c r="DW9" s="17">
        <f t="shared" si="57"/>
        <v>0.04285714286</v>
      </c>
      <c r="DX9" s="16">
        <v>0.0</v>
      </c>
      <c r="DY9" s="16">
        <v>23.0</v>
      </c>
      <c r="DZ9" s="17">
        <f t="shared" si="30"/>
        <v>0</v>
      </c>
      <c r="EA9" s="22">
        <v>13.0</v>
      </c>
      <c r="EB9" s="16">
        <v>332.0</v>
      </c>
      <c r="EC9" s="17">
        <f t="shared" si="31"/>
        <v>0.03915662651</v>
      </c>
      <c r="ED9" s="16">
        <v>2.0</v>
      </c>
      <c r="EE9" s="16">
        <v>31.0</v>
      </c>
      <c r="EF9" s="17">
        <f t="shared" si="32"/>
        <v>0.06451612903</v>
      </c>
      <c r="EG9" s="16">
        <v>1.0</v>
      </c>
      <c r="EH9" s="16">
        <v>89.0</v>
      </c>
      <c r="EI9" s="17">
        <f t="shared" si="33"/>
        <v>0.01123595506</v>
      </c>
      <c r="EJ9" s="16">
        <v>14.0</v>
      </c>
      <c r="EK9" s="16">
        <v>789.0</v>
      </c>
      <c r="EL9" s="17">
        <f t="shared" si="34"/>
        <v>0.01774397972</v>
      </c>
      <c r="EM9" s="16">
        <v>1.0</v>
      </c>
      <c r="EN9" s="16">
        <v>18.0</v>
      </c>
      <c r="EO9" s="17">
        <f t="shared" si="35"/>
        <v>0.05555555556</v>
      </c>
      <c r="EP9" s="16"/>
      <c r="EQ9" s="16"/>
      <c r="ER9" s="17"/>
      <c r="ES9" s="16">
        <v>4.0</v>
      </c>
      <c r="ET9" s="16">
        <v>87.0</v>
      </c>
      <c r="EU9" s="17">
        <f t="shared" si="36"/>
        <v>0.04597701149</v>
      </c>
      <c r="EV9" s="16"/>
      <c r="EW9" s="16">
        <v>59.0</v>
      </c>
      <c r="EX9" s="17"/>
      <c r="EY9" s="16">
        <v>16.0</v>
      </c>
      <c r="EZ9" s="16">
        <v>281.0</v>
      </c>
      <c r="FA9" s="17">
        <f t="shared" si="37"/>
        <v>0.05693950178</v>
      </c>
      <c r="FB9" s="16">
        <v>54.0</v>
      </c>
      <c r="FC9" s="16">
        <v>2090.0</v>
      </c>
      <c r="FD9" s="17">
        <f t="shared" si="38"/>
        <v>0.02714932127</v>
      </c>
      <c r="FE9" s="8">
        <v>11.0</v>
      </c>
      <c r="FF9" s="16">
        <v>101.0</v>
      </c>
      <c r="FG9" s="17">
        <f t="shared" si="39"/>
        <v>0.1089108911</v>
      </c>
      <c r="FH9" s="16">
        <v>2.0</v>
      </c>
      <c r="FI9" s="16">
        <v>110.0</v>
      </c>
      <c r="FJ9" s="17">
        <f t="shared" si="40"/>
        <v>0.01818181818</v>
      </c>
      <c r="FK9" s="16">
        <v>1.0</v>
      </c>
      <c r="FL9" s="16">
        <v>78.0</v>
      </c>
      <c r="FM9" s="17">
        <f t="shared" si="41"/>
        <v>0.01282051282</v>
      </c>
      <c r="FN9" s="16">
        <v>11.0</v>
      </c>
      <c r="FO9" s="16">
        <v>84.0</v>
      </c>
      <c r="FP9" s="17">
        <f t="shared" si="42"/>
        <v>0.130952381</v>
      </c>
      <c r="FQ9" s="16">
        <v>9.0</v>
      </c>
      <c r="FR9" s="16">
        <v>76.0</v>
      </c>
      <c r="FS9" s="17">
        <f t="shared" si="43"/>
        <v>0.1184210526</v>
      </c>
      <c r="FT9" s="16">
        <v>1.0</v>
      </c>
      <c r="FU9" s="16"/>
      <c r="FV9" s="16"/>
      <c r="FW9" s="16">
        <v>9.0</v>
      </c>
      <c r="FX9" s="16">
        <v>47.0</v>
      </c>
      <c r="FY9" s="17">
        <f t="shared" si="44"/>
        <v>0.1914893617</v>
      </c>
      <c r="FZ9" s="16">
        <v>3.0</v>
      </c>
      <c r="GA9" s="16"/>
      <c r="GB9" s="16"/>
      <c r="GC9" s="16">
        <v>1.0</v>
      </c>
      <c r="GD9" s="16">
        <v>95.0</v>
      </c>
      <c r="GE9" s="17">
        <f t="shared" si="45"/>
        <v>0.01052631579</v>
      </c>
      <c r="GF9" s="16">
        <v>2.0</v>
      </c>
      <c r="GG9" s="16">
        <v>152.0</v>
      </c>
      <c r="GH9" s="17">
        <f t="shared" si="46"/>
        <v>0.01315789474</v>
      </c>
      <c r="GI9" s="16">
        <v>26.0</v>
      </c>
      <c r="GJ9" s="16">
        <v>403.0</v>
      </c>
      <c r="GK9" s="17">
        <f t="shared" si="47"/>
        <v>0.06451612903</v>
      </c>
      <c r="GL9" s="16">
        <v>0.0</v>
      </c>
      <c r="GM9" s="16">
        <v>14.0</v>
      </c>
      <c r="GN9" s="17">
        <f t="shared" si="48"/>
        <v>0</v>
      </c>
      <c r="GO9" s="16">
        <v>2.0</v>
      </c>
      <c r="GP9" s="16">
        <v>17.0</v>
      </c>
      <c r="GQ9" s="17">
        <f t="shared" si="49"/>
        <v>0.1176470588</v>
      </c>
      <c r="GR9" s="16">
        <v>7.0</v>
      </c>
      <c r="GS9" s="16">
        <v>54.0</v>
      </c>
      <c r="GT9" s="17">
        <f t="shared" si="50"/>
        <v>0.1296296296</v>
      </c>
      <c r="GU9" s="8">
        <v>0.0</v>
      </c>
      <c r="GV9" s="16">
        <v>13.0</v>
      </c>
      <c r="GW9" s="17">
        <f t="shared" si="51"/>
        <v>0</v>
      </c>
      <c r="GX9" s="16">
        <v>27.0</v>
      </c>
      <c r="GY9" s="16">
        <v>700.0</v>
      </c>
      <c r="GZ9" s="16"/>
      <c r="HA9" s="16">
        <v>12.0</v>
      </c>
      <c r="HB9" s="16">
        <v>215.0</v>
      </c>
      <c r="HC9" s="17">
        <f t="shared" si="52"/>
        <v>0.05581395349</v>
      </c>
      <c r="HD9" s="16"/>
      <c r="HE9" s="16"/>
      <c r="HF9" s="16"/>
    </row>
    <row r="10" ht="15.75" customHeight="1">
      <c r="A10" s="1">
        <f t="shared" si="58"/>
        <v>44013</v>
      </c>
      <c r="B10" s="8">
        <v>57.0</v>
      </c>
      <c r="C10" s="8">
        <v>786.0</v>
      </c>
      <c r="D10" s="9">
        <f t="shared" si="1"/>
        <v>0.07251908397</v>
      </c>
      <c r="E10" s="8">
        <v>5.0</v>
      </c>
      <c r="F10" s="8">
        <v>62.0</v>
      </c>
      <c r="G10" s="9">
        <f t="shared" si="2"/>
        <v>0.08064516129</v>
      </c>
      <c r="H10" s="8">
        <v>11.0</v>
      </c>
      <c r="I10" s="8">
        <v>528.0</v>
      </c>
      <c r="J10" s="9">
        <f t="shared" si="3"/>
        <v>0.02083333333</v>
      </c>
      <c r="M10" s="9"/>
      <c r="N10" s="8">
        <v>60.0</v>
      </c>
      <c r="O10" s="8">
        <v>959.0</v>
      </c>
      <c r="P10" s="9">
        <f t="shared" si="4"/>
        <v>0.06256517205</v>
      </c>
      <c r="T10" s="8">
        <v>20.0</v>
      </c>
      <c r="U10" s="8">
        <v>515.0</v>
      </c>
      <c r="V10" s="9">
        <f t="shared" si="53"/>
        <v>0.03883495146</v>
      </c>
      <c r="W10" s="8">
        <v>23.0</v>
      </c>
      <c r="X10" s="8">
        <v>399.0</v>
      </c>
      <c r="Y10" s="9">
        <f t="shared" si="5"/>
        <v>0.05764411028</v>
      </c>
      <c r="Z10" s="8">
        <v>3.0</v>
      </c>
      <c r="AA10" s="8">
        <v>232.0</v>
      </c>
      <c r="AB10" s="9">
        <f t="shared" si="54"/>
        <v>0.01293103448</v>
      </c>
      <c r="AC10" s="8">
        <v>19.0</v>
      </c>
      <c r="AD10" s="8">
        <v>923.0</v>
      </c>
      <c r="AE10" s="9">
        <f t="shared" si="55"/>
        <v>0.02058504875</v>
      </c>
      <c r="AF10" s="8">
        <v>17.0</v>
      </c>
      <c r="AG10" s="8">
        <v>374.0</v>
      </c>
      <c r="AH10" s="9">
        <f t="shared" si="6"/>
        <v>0.04545454545</v>
      </c>
      <c r="AI10" s="10">
        <v>14.0</v>
      </c>
      <c r="AJ10" s="8">
        <v>276.0</v>
      </c>
      <c r="AK10" s="9">
        <f t="shared" si="7"/>
        <v>0.05072463768</v>
      </c>
      <c r="AL10" s="16">
        <v>23.0</v>
      </c>
      <c r="AM10" s="16">
        <v>300.0</v>
      </c>
      <c r="AN10" s="17">
        <f t="shared" si="8"/>
        <v>0.07666666667</v>
      </c>
      <c r="AO10" s="18">
        <v>4.0</v>
      </c>
      <c r="AP10" s="18">
        <v>109.0</v>
      </c>
      <c r="AQ10" s="17">
        <f t="shared" si="9"/>
        <v>0.03669724771</v>
      </c>
      <c r="AR10" s="17"/>
      <c r="AS10" s="16">
        <v>93.0</v>
      </c>
      <c r="AT10" s="17"/>
      <c r="AU10" s="17"/>
      <c r="AV10" s="17"/>
      <c r="AW10" s="17"/>
      <c r="AX10" s="21" t="s">
        <v>74</v>
      </c>
      <c r="AY10" s="21" t="s">
        <v>84</v>
      </c>
      <c r="AZ10" s="17">
        <f t="shared" si="10"/>
        <v>0.03703703704</v>
      </c>
      <c r="BA10" s="16">
        <v>5.0</v>
      </c>
      <c r="BB10" s="16">
        <v>93.0</v>
      </c>
      <c r="BC10" s="17">
        <f t="shared" si="11"/>
        <v>0.05376344086</v>
      </c>
      <c r="BD10" s="17"/>
      <c r="BE10" s="16">
        <v>9.0</v>
      </c>
      <c r="BF10" s="17"/>
      <c r="BG10" s="17"/>
      <c r="BH10" s="18">
        <v>50.0</v>
      </c>
      <c r="BI10" s="17"/>
      <c r="BJ10" s="18">
        <v>5.0</v>
      </c>
      <c r="BK10" s="18">
        <v>198.0</v>
      </c>
      <c r="BL10" s="17">
        <f t="shared" si="12"/>
        <v>0.02525252525</v>
      </c>
      <c r="BM10" s="19">
        <v>0.0</v>
      </c>
      <c r="BN10" s="19">
        <v>35.0</v>
      </c>
      <c r="BO10" s="17">
        <f t="shared" si="13"/>
        <v>0</v>
      </c>
      <c r="BP10" s="16">
        <v>5.0</v>
      </c>
      <c r="BQ10" s="16">
        <v>96.0</v>
      </c>
      <c r="BR10" s="17">
        <f t="shared" si="14"/>
        <v>0.05208333333</v>
      </c>
      <c r="BS10" s="16">
        <v>9.0</v>
      </c>
      <c r="BT10" s="16">
        <v>155.0</v>
      </c>
      <c r="BU10" s="17">
        <f t="shared" si="15"/>
        <v>0.05806451613</v>
      </c>
      <c r="BV10" s="18">
        <v>4.0</v>
      </c>
      <c r="BW10" s="18">
        <v>72.0</v>
      </c>
      <c r="BX10" s="17">
        <f t="shared" si="16"/>
        <v>0.05555555556</v>
      </c>
      <c r="BY10" s="16">
        <v>1.0</v>
      </c>
      <c r="BZ10" s="16">
        <v>77.0</v>
      </c>
      <c r="CA10" s="13">
        <f t="shared" si="59"/>
        <v>0.01298701299</v>
      </c>
      <c r="CB10" s="18">
        <v>0.0</v>
      </c>
      <c r="CC10" s="16">
        <v>89.0</v>
      </c>
      <c r="CD10" s="17">
        <f t="shared" si="17"/>
        <v>0</v>
      </c>
      <c r="CE10" s="16">
        <v>6.0</v>
      </c>
      <c r="CF10" s="8">
        <v>403.0</v>
      </c>
      <c r="CG10" s="17">
        <f t="shared" si="18"/>
        <v>0.01488833747</v>
      </c>
      <c r="CH10" s="16">
        <v>6.0</v>
      </c>
      <c r="CI10" s="16">
        <v>20.0</v>
      </c>
      <c r="CJ10" s="17">
        <f t="shared" si="19"/>
        <v>0.3</v>
      </c>
      <c r="CK10" s="16">
        <v>2.0</v>
      </c>
      <c r="CL10" s="16">
        <v>84.0</v>
      </c>
      <c r="CM10" s="17">
        <f t="shared" si="20"/>
        <v>0.02380952381</v>
      </c>
      <c r="CN10" s="16">
        <v>1.0</v>
      </c>
      <c r="CO10" s="16">
        <v>114.0</v>
      </c>
      <c r="CP10" s="17">
        <f t="shared" si="21"/>
        <v>0.008771929825</v>
      </c>
      <c r="CQ10" s="16">
        <v>12.0</v>
      </c>
      <c r="CR10" s="16">
        <v>546.0</v>
      </c>
      <c r="CS10" s="17">
        <f t="shared" si="22"/>
        <v>0.02197802198</v>
      </c>
      <c r="CT10" s="16">
        <v>3.0</v>
      </c>
      <c r="CU10" s="16">
        <v>111.0</v>
      </c>
      <c r="CV10" s="17">
        <f t="shared" si="23"/>
        <v>0.02702702703</v>
      </c>
      <c r="CW10" s="16">
        <v>0.0</v>
      </c>
      <c r="CX10" s="16">
        <v>89.0</v>
      </c>
      <c r="CY10" s="17">
        <f t="shared" si="24"/>
        <v>0</v>
      </c>
      <c r="CZ10" s="16">
        <v>17.0</v>
      </c>
      <c r="DA10" s="16">
        <v>157.0</v>
      </c>
      <c r="DB10" s="17">
        <f t="shared" si="56"/>
        <v>0.1082802548</v>
      </c>
      <c r="DC10" s="16">
        <v>2.0</v>
      </c>
      <c r="DD10" s="16">
        <v>77.0</v>
      </c>
      <c r="DE10" s="17">
        <f t="shared" si="25"/>
        <v>0.02597402597</v>
      </c>
      <c r="DF10" s="16"/>
      <c r="DG10" s="16"/>
      <c r="DH10" s="17"/>
      <c r="DI10" s="16">
        <v>9.0</v>
      </c>
      <c r="DJ10" s="16">
        <v>170.0</v>
      </c>
      <c r="DK10" s="17">
        <f t="shared" si="26"/>
        <v>0.05294117647</v>
      </c>
      <c r="DL10" s="16">
        <v>1.0</v>
      </c>
      <c r="DM10" s="16">
        <v>20.0</v>
      </c>
      <c r="DN10" s="17">
        <f t="shared" si="27"/>
        <v>0.05</v>
      </c>
      <c r="DO10" s="16">
        <v>5.0</v>
      </c>
      <c r="DP10" s="16">
        <v>108.0</v>
      </c>
      <c r="DQ10" s="17">
        <f t="shared" si="28"/>
        <v>0.0462962963</v>
      </c>
      <c r="DR10" s="16">
        <v>5.0</v>
      </c>
      <c r="DS10" s="16">
        <v>68.0</v>
      </c>
      <c r="DT10" s="17">
        <f t="shared" si="29"/>
        <v>0.07352941176</v>
      </c>
      <c r="DU10" s="16">
        <v>19.0</v>
      </c>
      <c r="DV10" s="16">
        <v>326.0</v>
      </c>
      <c r="DW10" s="17">
        <f t="shared" si="57"/>
        <v>0.05828220859</v>
      </c>
      <c r="DX10" s="16">
        <v>0.0</v>
      </c>
      <c r="DY10" s="16">
        <v>27.0</v>
      </c>
      <c r="DZ10" s="17">
        <f t="shared" si="30"/>
        <v>0</v>
      </c>
      <c r="EA10" s="22">
        <v>15.0</v>
      </c>
      <c r="EB10" s="16">
        <v>368.0</v>
      </c>
      <c r="EC10" s="17">
        <f t="shared" si="31"/>
        <v>0.04076086957</v>
      </c>
      <c r="ED10" s="16">
        <v>1.0</v>
      </c>
      <c r="EE10" s="16">
        <v>25.0</v>
      </c>
      <c r="EF10" s="17">
        <f t="shared" si="32"/>
        <v>0.04</v>
      </c>
      <c r="EG10" s="16">
        <v>3.0</v>
      </c>
      <c r="EH10" s="16">
        <v>88.0</v>
      </c>
      <c r="EI10" s="17">
        <f t="shared" si="33"/>
        <v>0.03409090909</v>
      </c>
      <c r="EJ10" s="16">
        <v>14.0</v>
      </c>
      <c r="EK10" s="16">
        <v>901.0</v>
      </c>
      <c r="EL10" s="17">
        <f t="shared" si="34"/>
        <v>0.01553829079</v>
      </c>
      <c r="EM10" s="16">
        <v>2.0</v>
      </c>
      <c r="EN10" s="16">
        <v>17.0</v>
      </c>
      <c r="EO10" s="17">
        <f t="shared" si="35"/>
        <v>0.1176470588</v>
      </c>
      <c r="EP10" s="16"/>
      <c r="EQ10" s="16"/>
      <c r="ER10" s="17"/>
      <c r="ES10" s="16">
        <v>2.0</v>
      </c>
      <c r="ET10" s="16">
        <v>97.0</v>
      </c>
      <c r="EU10" s="17">
        <f t="shared" si="36"/>
        <v>0.0206185567</v>
      </c>
      <c r="EV10" s="16"/>
      <c r="EW10" s="16">
        <v>74.0</v>
      </c>
      <c r="EX10" s="17"/>
      <c r="EY10" s="16">
        <v>24.0</v>
      </c>
      <c r="EZ10" s="16">
        <v>427.0</v>
      </c>
      <c r="FA10" s="17">
        <f t="shared" si="37"/>
        <v>0.05620608899</v>
      </c>
      <c r="FB10" s="16">
        <v>83.0</v>
      </c>
      <c r="FC10" s="16">
        <v>1989.0</v>
      </c>
      <c r="FD10" s="17">
        <f t="shared" si="38"/>
        <v>0.0451577802</v>
      </c>
      <c r="FE10" s="8">
        <v>6.0</v>
      </c>
      <c r="FF10" s="16">
        <v>65.0</v>
      </c>
      <c r="FG10" s="17">
        <f t="shared" si="39"/>
        <v>0.09230769231</v>
      </c>
      <c r="FH10" s="16">
        <v>12.0</v>
      </c>
      <c r="FI10" s="16">
        <v>114.0</v>
      </c>
      <c r="FJ10" s="17">
        <f t="shared" si="40"/>
        <v>0.1052631579</v>
      </c>
      <c r="FK10" s="16">
        <v>1.0</v>
      </c>
      <c r="FL10" s="16">
        <v>60.0</v>
      </c>
      <c r="FM10" s="17">
        <f t="shared" si="41"/>
        <v>0.01666666667</v>
      </c>
      <c r="FN10" s="16">
        <v>11.0</v>
      </c>
      <c r="FO10" s="16">
        <v>104.0</v>
      </c>
      <c r="FP10" s="17">
        <f t="shared" si="42"/>
        <v>0.1057692308</v>
      </c>
      <c r="FQ10" s="16">
        <v>6.0</v>
      </c>
      <c r="FR10" s="16">
        <v>100.0</v>
      </c>
      <c r="FS10" s="17">
        <f t="shared" si="43"/>
        <v>0.06</v>
      </c>
      <c r="FT10" s="16">
        <v>3.0</v>
      </c>
      <c r="FU10" s="16"/>
      <c r="FV10" s="16"/>
      <c r="FW10" s="16">
        <v>3.0</v>
      </c>
      <c r="FX10" s="16">
        <v>40.0</v>
      </c>
      <c r="FY10" s="17">
        <f t="shared" si="44"/>
        <v>0.075</v>
      </c>
      <c r="FZ10" s="16">
        <v>8.0</v>
      </c>
      <c r="GA10" s="16"/>
      <c r="GB10" s="16"/>
      <c r="GC10" s="16">
        <v>2.0</v>
      </c>
      <c r="GD10" s="16">
        <v>105.0</v>
      </c>
      <c r="GE10" s="17">
        <f t="shared" si="45"/>
        <v>0.01904761905</v>
      </c>
      <c r="GF10" s="16">
        <v>5.0</v>
      </c>
      <c r="GG10" s="16">
        <v>162.0</v>
      </c>
      <c r="GH10" s="17">
        <f t="shared" si="46"/>
        <v>0.03086419753</v>
      </c>
      <c r="GI10" s="16">
        <v>26.0</v>
      </c>
      <c r="GJ10" s="16">
        <v>448.0</v>
      </c>
      <c r="GK10" s="17">
        <f t="shared" si="47"/>
        <v>0.05803571429</v>
      </c>
      <c r="GL10" s="16">
        <v>1.0</v>
      </c>
      <c r="GM10" s="16">
        <v>13.0</v>
      </c>
      <c r="GN10" s="17">
        <f t="shared" si="48"/>
        <v>0.07692307692</v>
      </c>
      <c r="GO10" s="16">
        <v>0.0</v>
      </c>
      <c r="GP10" s="16">
        <v>12.0</v>
      </c>
      <c r="GQ10" s="17">
        <f t="shared" si="49"/>
        <v>0</v>
      </c>
      <c r="GR10" s="16">
        <v>5.0</v>
      </c>
      <c r="GS10" s="16">
        <v>72.0</v>
      </c>
      <c r="GT10" s="17">
        <f t="shared" si="50"/>
        <v>0.06944444444</v>
      </c>
      <c r="GU10" s="8">
        <v>2.0</v>
      </c>
      <c r="GV10" s="16">
        <v>16.0</v>
      </c>
      <c r="GW10" s="17">
        <f t="shared" si="51"/>
        <v>0.125</v>
      </c>
      <c r="GX10" s="16">
        <v>35.0</v>
      </c>
      <c r="GY10" s="16">
        <v>692.0</v>
      </c>
      <c r="GZ10" s="16"/>
      <c r="HA10" s="16">
        <v>17.0</v>
      </c>
      <c r="HB10" s="16">
        <v>210.0</v>
      </c>
      <c r="HC10" s="17">
        <f t="shared" si="52"/>
        <v>0.08095238095</v>
      </c>
      <c r="HD10" s="16"/>
      <c r="HE10" s="16"/>
      <c r="HF10" s="16"/>
    </row>
    <row r="11" ht="15.75" customHeight="1">
      <c r="A11" s="1">
        <f t="shared" si="58"/>
        <v>44044</v>
      </c>
      <c r="B11" s="8">
        <v>85.0</v>
      </c>
      <c r="C11" s="8">
        <v>840.0</v>
      </c>
      <c r="D11" s="9">
        <f t="shared" si="1"/>
        <v>0.1011904762</v>
      </c>
      <c r="E11" s="8">
        <v>4.0</v>
      </c>
      <c r="F11" s="8">
        <v>83.0</v>
      </c>
      <c r="G11" s="9">
        <f t="shared" si="2"/>
        <v>0.04819277108</v>
      </c>
      <c r="H11" s="8">
        <v>8.0</v>
      </c>
      <c r="I11" s="8">
        <v>629.0</v>
      </c>
      <c r="J11" s="9">
        <f t="shared" si="3"/>
        <v>0.01271860095</v>
      </c>
      <c r="M11" s="9"/>
      <c r="N11" s="8">
        <v>55.0</v>
      </c>
      <c r="O11" s="8">
        <v>996.0</v>
      </c>
      <c r="P11" s="9">
        <f t="shared" si="4"/>
        <v>0.05522088353</v>
      </c>
      <c r="T11" s="8">
        <v>18.0</v>
      </c>
      <c r="U11" s="8">
        <v>437.0</v>
      </c>
      <c r="V11" s="9">
        <f t="shared" si="53"/>
        <v>0.04118993135</v>
      </c>
      <c r="W11" s="8">
        <v>16.0</v>
      </c>
      <c r="X11" s="8">
        <v>376.0</v>
      </c>
      <c r="Y11" s="9">
        <f t="shared" si="5"/>
        <v>0.04255319149</v>
      </c>
      <c r="Z11" s="8">
        <v>5.0</v>
      </c>
      <c r="AA11" s="8">
        <v>193.0</v>
      </c>
      <c r="AB11" s="9">
        <f t="shared" si="54"/>
        <v>0.02590673575</v>
      </c>
      <c r="AC11" s="8">
        <v>28.0</v>
      </c>
      <c r="AD11" s="8">
        <v>934.0</v>
      </c>
      <c r="AE11" s="9">
        <f t="shared" si="55"/>
        <v>0.02997858672</v>
      </c>
      <c r="AF11" s="8">
        <v>18.0</v>
      </c>
      <c r="AG11" s="8">
        <v>425.0</v>
      </c>
      <c r="AH11" s="9">
        <f t="shared" si="6"/>
        <v>0.04235294118</v>
      </c>
      <c r="AI11" s="10">
        <v>5.0</v>
      </c>
      <c r="AJ11" s="8">
        <v>320.0</v>
      </c>
      <c r="AK11" s="9">
        <f t="shared" si="7"/>
        <v>0.015625</v>
      </c>
      <c r="AL11" s="16">
        <v>16.0</v>
      </c>
      <c r="AM11" s="16">
        <v>363.0</v>
      </c>
      <c r="AN11" s="17">
        <f t="shared" si="8"/>
        <v>0.04407713499</v>
      </c>
      <c r="AO11" s="18">
        <v>7.0</v>
      </c>
      <c r="AP11" s="18">
        <v>114.0</v>
      </c>
      <c r="AQ11" s="17">
        <f t="shared" si="9"/>
        <v>0.06140350877</v>
      </c>
      <c r="AR11" s="17"/>
      <c r="AS11" s="16">
        <v>94.0</v>
      </c>
      <c r="AT11" s="17"/>
      <c r="AU11" s="17"/>
      <c r="AV11" s="17"/>
      <c r="AW11" s="17"/>
      <c r="AX11" s="21" t="s">
        <v>85</v>
      </c>
      <c r="AY11" s="21" t="s">
        <v>86</v>
      </c>
      <c r="AZ11" s="17">
        <f t="shared" si="10"/>
        <v>0.02222222222</v>
      </c>
      <c r="BA11" s="16">
        <v>7.0</v>
      </c>
      <c r="BB11" s="16">
        <v>67.0</v>
      </c>
      <c r="BC11" s="17">
        <f t="shared" si="11"/>
        <v>0.1044776119</v>
      </c>
      <c r="BD11" s="17"/>
      <c r="BE11" s="16">
        <v>7.0</v>
      </c>
      <c r="BF11" s="17"/>
      <c r="BG11" s="17"/>
      <c r="BH11" s="18">
        <v>42.0</v>
      </c>
      <c r="BI11" s="17"/>
      <c r="BJ11" s="18">
        <v>15.0</v>
      </c>
      <c r="BK11" s="18">
        <v>189.0</v>
      </c>
      <c r="BL11" s="17">
        <f t="shared" si="12"/>
        <v>0.07936507937</v>
      </c>
      <c r="BM11" s="19">
        <v>2.0</v>
      </c>
      <c r="BN11" s="19">
        <v>41.0</v>
      </c>
      <c r="BO11" s="17">
        <f t="shared" si="13"/>
        <v>0.0487804878</v>
      </c>
      <c r="BP11" s="16">
        <v>9.0</v>
      </c>
      <c r="BQ11" s="16">
        <v>118.0</v>
      </c>
      <c r="BR11" s="17">
        <f t="shared" si="14"/>
        <v>0.07627118644</v>
      </c>
      <c r="BS11" s="16">
        <v>14.0</v>
      </c>
      <c r="BT11" s="16">
        <v>157.0</v>
      </c>
      <c r="BU11" s="17">
        <f t="shared" si="15"/>
        <v>0.08917197452</v>
      </c>
      <c r="BV11" s="18">
        <v>4.0</v>
      </c>
      <c r="BW11" s="18">
        <v>83.0</v>
      </c>
      <c r="BX11" s="17">
        <f t="shared" si="16"/>
        <v>0.04819277108</v>
      </c>
      <c r="BY11" s="16">
        <v>4.0</v>
      </c>
      <c r="BZ11" s="16">
        <v>92.0</v>
      </c>
      <c r="CA11" s="13">
        <f t="shared" si="59"/>
        <v>0.04347826087</v>
      </c>
      <c r="CB11" s="18">
        <v>0.0</v>
      </c>
      <c r="CC11" s="16">
        <v>44.0</v>
      </c>
      <c r="CD11" s="17">
        <f t="shared" si="17"/>
        <v>0</v>
      </c>
      <c r="CE11" s="16">
        <v>15.0</v>
      </c>
      <c r="CF11" s="8">
        <v>358.0</v>
      </c>
      <c r="CG11" s="17">
        <f t="shared" si="18"/>
        <v>0.04189944134</v>
      </c>
      <c r="CH11" s="16">
        <v>0.0</v>
      </c>
      <c r="CI11" s="16">
        <v>11.0</v>
      </c>
      <c r="CJ11" s="17">
        <f t="shared" si="19"/>
        <v>0</v>
      </c>
      <c r="CK11" s="16">
        <v>3.0</v>
      </c>
      <c r="CL11" s="16">
        <v>84.0</v>
      </c>
      <c r="CM11" s="17">
        <f t="shared" si="20"/>
        <v>0.03571428571</v>
      </c>
      <c r="CN11" s="16">
        <v>3.0</v>
      </c>
      <c r="CO11" s="16">
        <v>94.0</v>
      </c>
      <c r="CP11" s="17">
        <f t="shared" si="21"/>
        <v>0.03191489362</v>
      </c>
      <c r="CQ11" s="16">
        <v>17.0</v>
      </c>
      <c r="CR11" s="16">
        <v>485.0</v>
      </c>
      <c r="CS11" s="17">
        <f t="shared" si="22"/>
        <v>0.03505154639</v>
      </c>
      <c r="CT11" s="16">
        <v>1.0</v>
      </c>
      <c r="CU11" s="16">
        <v>78.0</v>
      </c>
      <c r="CV11" s="17">
        <f t="shared" si="23"/>
        <v>0.01282051282</v>
      </c>
      <c r="CW11" s="16">
        <v>0.0</v>
      </c>
      <c r="CX11" s="16">
        <v>44.0</v>
      </c>
      <c r="CY11" s="17">
        <f t="shared" si="24"/>
        <v>0</v>
      </c>
      <c r="CZ11" s="16">
        <v>12.0</v>
      </c>
      <c r="DA11" s="16">
        <v>149.0</v>
      </c>
      <c r="DB11" s="17">
        <f t="shared" si="56"/>
        <v>0.08053691275</v>
      </c>
      <c r="DC11" s="16">
        <v>6.0</v>
      </c>
      <c r="DD11" s="16">
        <v>74.0</v>
      </c>
      <c r="DE11" s="17">
        <f t="shared" si="25"/>
        <v>0.08108108108</v>
      </c>
      <c r="DF11" s="16"/>
      <c r="DG11" s="16"/>
      <c r="DH11" s="17"/>
      <c r="DI11" s="16">
        <v>4.0</v>
      </c>
      <c r="DJ11" s="16">
        <v>134.0</v>
      </c>
      <c r="DK11" s="17">
        <f t="shared" si="26"/>
        <v>0.02985074627</v>
      </c>
      <c r="DL11" s="16">
        <v>2.0</v>
      </c>
      <c r="DM11" s="16">
        <v>32.0</v>
      </c>
      <c r="DN11" s="17">
        <f t="shared" si="27"/>
        <v>0.0625</v>
      </c>
      <c r="DO11" s="16">
        <v>4.0</v>
      </c>
      <c r="DP11" s="16">
        <v>117.0</v>
      </c>
      <c r="DQ11" s="17">
        <f t="shared" si="28"/>
        <v>0.03418803419</v>
      </c>
      <c r="DR11" s="16">
        <v>7.0</v>
      </c>
      <c r="DS11" s="16">
        <v>78.0</v>
      </c>
      <c r="DT11" s="17">
        <f t="shared" si="29"/>
        <v>0.08974358974</v>
      </c>
      <c r="DU11" s="16">
        <v>10.0</v>
      </c>
      <c r="DV11" s="16">
        <v>350.0</v>
      </c>
      <c r="DW11" s="17">
        <f t="shared" si="57"/>
        <v>0.02857142857</v>
      </c>
      <c r="DX11" s="16">
        <v>2.0</v>
      </c>
      <c r="DY11" s="16">
        <v>25.0</v>
      </c>
      <c r="DZ11" s="17">
        <f t="shared" si="30"/>
        <v>0.08</v>
      </c>
      <c r="EA11" s="22">
        <v>15.0</v>
      </c>
      <c r="EB11" s="16">
        <v>375.0</v>
      </c>
      <c r="EC11" s="17">
        <f t="shared" si="31"/>
        <v>0.04</v>
      </c>
      <c r="ED11" s="16">
        <v>5.0</v>
      </c>
      <c r="EE11" s="16">
        <v>33.0</v>
      </c>
      <c r="EF11" s="17">
        <f t="shared" si="32"/>
        <v>0.1515151515</v>
      </c>
      <c r="EG11" s="16">
        <v>2.0</v>
      </c>
      <c r="EH11" s="16">
        <v>71.0</v>
      </c>
      <c r="EI11" s="17">
        <f t="shared" si="33"/>
        <v>0.02816901408</v>
      </c>
      <c r="EJ11" s="16">
        <v>10.0</v>
      </c>
      <c r="EK11" s="16">
        <v>636.0</v>
      </c>
      <c r="EL11" s="17">
        <f t="shared" si="34"/>
        <v>0.01572327044</v>
      </c>
      <c r="EM11" s="16">
        <v>0.0</v>
      </c>
      <c r="EN11" s="16">
        <v>20.0</v>
      </c>
      <c r="EO11" s="17">
        <f t="shared" si="35"/>
        <v>0</v>
      </c>
      <c r="EP11" s="16"/>
      <c r="EQ11" s="16"/>
      <c r="ER11" s="17"/>
      <c r="ES11" s="16">
        <v>4.0</v>
      </c>
      <c r="ET11" s="16">
        <v>82.0</v>
      </c>
      <c r="EU11" s="17">
        <f t="shared" si="36"/>
        <v>0.0487804878</v>
      </c>
      <c r="EV11" s="16"/>
      <c r="EW11" s="16">
        <v>74.0</v>
      </c>
      <c r="EX11" s="17"/>
      <c r="EY11" s="16">
        <v>20.0</v>
      </c>
      <c r="EZ11" s="16">
        <v>419.0</v>
      </c>
      <c r="FA11" s="17">
        <f t="shared" si="37"/>
        <v>0.0477326969</v>
      </c>
      <c r="FB11" s="16">
        <v>130.0</v>
      </c>
      <c r="FC11" s="16">
        <v>1838.0</v>
      </c>
      <c r="FD11" s="17">
        <f t="shared" si="38"/>
        <v>0.08024691358</v>
      </c>
      <c r="FE11" s="8">
        <v>6.0</v>
      </c>
      <c r="FF11" s="16">
        <v>86.0</v>
      </c>
      <c r="FG11" s="17">
        <f t="shared" si="39"/>
        <v>0.06976744186</v>
      </c>
      <c r="FH11" s="16">
        <v>2.0</v>
      </c>
      <c r="FI11" s="16">
        <v>101.0</v>
      </c>
      <c r="FJ11" s="17">
        <f t="shared" si="40"/>
        <v>0.0198019802</v>
      </c>
      <c r="FK11" s="16">
        <v>2.0</v>
      </c>
      <c r="FL11" s="16">
        <v>63.0</v>
      </c>
      <c r="FM11" s="17">
        <f t="shared" si="41"/>
        <v>0.03174603175</v>
      </c>
      <c r="FN11" s="16">
        <v>8.0</v>
      </c>
      <c r="FO11" s="16">
        <v>93.0</v>
      </c>
      <c r="FP11" s="17">
        <f t="shared" si="42"/>
        <v>0.08602150538</v>
      </c>
      <c r="FQ11" s="16">
        <v>7.0</v>
      </c>
      <c r="FR11" s="16">
        <v>76.0</v>
      </c>
      <c r="FS11" s="17">
        <f t="shared" si="43"/>
        <v>0.09210526316</v>
      </c>
      <c r="FT11" s="16">
        <v>4.0</v>
      </c>
      <c r="FU11" s="16"/>
      <c r="FV11" s="16"/>
      <c r="FW11" s="16">
        <v>5.0</v>
      </c>
      <c r="FX11" s="16">
        <v>35.0</v>
      </c>
      <c r="FY11" s="17">
        <f t="shared" si="44"/>
        <v>0.1428571429</v>
      </c>
      <c r="FZ11" s="16">
        <v>0.0</v>
      </c>
      <c r="GA11" s="16"/>
      <c r="GB11" s="16"/>
      <c r="GC11" s="16">
        <v>2.0</v>
      </c>
      <c r="GD11" s="16">
        <v>89.0</v>
      </c>
      <c r="GE11" s="17">
        <f t="shared" si="45"/>
        <v>0.02247191011</v>
      </c>
      <c r="GF11" s="16">
        <v>7.0</v>
      </c>
      <c r="GG11" s="16">
        <v>207.0</v>
      </c>
      <c r="GH11" s="17">
        <f t="shared" si="46"/>
        <v>0.03381642512</v>
      </c>
      <c r="GI11" s="16">
        <v>21.0</v>
      </c>
      <c r="GJ11" s="16">
        <v>470.0</v>
      </c>
      <c r="GK11" s="17">
        <f t="shared" si="47"/>
        <v>0.04468085106</v>
      </c>
      <c r="GL11" s="16">
        <v>0.0</v>
      </c>
      <c r="GM11" s="16">
        <v>6.0</v>
      </c>
      <c r="GN11" s="17">
        <f t="shared" si="48"/>
        <v>0</v>
      </c>
      <c r="GO11" s="16">
        <v>3.0</v>
      </c>
      <c r="GP11" s="16">
        <v>15.0</v>
      </c>
      <c r="GQ11" s="17">
        <f t="shared" si="49"/>
        <v>0.2</v>
      </c>
      <c r="GR11" s="16">
        <v>9.0</v>
      </c>
      <c r="GS11" s="16">
        <v>74.0</v>
      </c>
      <c r="GT11" s="17">
        <f t="shared" si="50"/>
        <v>0.1216216216</v>
      </c>
      <c r="GU11" s="8">
        <v>0.0</v>
      </c>
      <c r="GV11" s="16">
        <v>16.0</v>
      </c>
      <c r="GW11" s="17">
        <f t="shared" si="51"/>
        <v>0</v>
      </c>
      <c r="GX11" s="16">
        <v>40.0</v>
      </c>
      <c r="GY11" s="16">
        <v>687.0</v>
      </c>
      <c r="GZ11" s="16"/>
      <c r="HA11" s="16">
        <v>10.0</v>
      </c>
      <c r="HB11" s="16">
        <v>213.0</v>
      </c>
      <c r="HC11" s="17">
        <f t="shared" si="52"/>
        <v>0.04694835681</v>
      </c>
      <c r="HD11" s="16"/>
      <c r="HE11" s="16"/>
      <c r="HF11" s="16"/>
    </row>
    <row r="12" ht="15.75" customHeight="1">
      <c r="A12" s="1">
        <f t="shared" si="58"/>
        <v>44075</v>
      </c>
      <c r="B12" s="8">
        <v>107.0</v>
      </c>
      <c r="C12" s="8">
        <v>916.0</v>
      </c>
      <c r="D12" s="9">
        <f t="shared" si="1"/>
        <v>0.1168122271</v>
      </c>
      <c r="E12" s="8">
        <v>2.0</v>
      </c>
      <c r="F12" s="8">
        <v>73.0</v>
      </c>
      <c r="G12" s="9">
        <f t="shared" si="2"/>
        <v>0.02739726027</v>
      </c>
      <c r="H12" s="8">
        <v>11.0</v>
      </c>
      <c r="I12" s="8">
        <v>657.0</v>
      </c>
      <c r="J12" s="9">
        <f t="shared" si="3"/>
        <v>0.01674277017</v>
      </c>
      <c r="M12" s="9"/>
      <c r="N12" s="8">
        <v>39.0</v>
      </c>
      <c r="O12" s="8">
        <v>921.0</v>
      </c>
      <c r="P12" s="9">
        <f t="shared" si="4"/>
        <v>0.04234527687</v>
      </c>
      <c r="T12" s="8">
        <v>17.0</v>
      </c>
      <c r="U12" s="8">
        <v>375.0</v>
      </c>
      <c r="V12" s="9">
        <f t="shared" si="53"/>
        <v>0.04533333333</v>
      </c>
      <c r="W12" s="8">
        <v>27.0</v>
      </c>
      <c r="X12" s="8">
        <v>389.0</v>
      </c>
      <c r="Y12" s="9">
        <f t="shared" si="5"/>
        <v>0.06940874036</v>
      </c>
      <c r="Z12" s="8">
        <v>4.0</v>
      </c>
      <c r="AA12" s="8">
        <v>183.0</v>
      </c>
      <c r="AB12" s="9">
        <f t="shared" si="54"/>
        <v>0.0218579235</v>
      </c>
      <c r="AC12" s="8">
        <v>32.0</v>
      </c>
      <c r="AD12" s="8">
        <v>913.0</v>
      </c>
      <c r="AE12" s="9">
        <f t="shared" si="55"/>
        <v>0.03504928806</v>
      </c>
      <c r="AF12" s="8">
        <v>9.0</v>
      </c>
      <c r="AG12" s="8">
        <v>313.0</v>
      </c>
      <c r="AH12" s="9">
        <f t="shared" si="6"/>
        <v>0.02875399361</v>
      </c>
      <c r="AI12" s="10">
        <v>11.0</v>
      </c>
      <c r="AJ12" s="8">
        <v>302.0</v>
      </c>
      <c r="AK12" s="9">
        <f t="shared" si="7"/>
        <v>0.03642384106</v>
      </c>
      <c r="AL12" s="16">
        <v>19.0</v>
      </c>
      <c r="AM12" s="16">
        <v>360.0</v>
      </c>
      <c r="AN12" s="17">
        <f t="shared" si="8"/>
        <v>0.05277777778</v>
      </c>
      <c r="AO12" s="18">
        <v>5.0</v>
      </c>
      <c r="AP12" s="18">
        <v>123.0</v>
      </c>
      <c r="AQ12" s="17">
        <f t="shared" si="9"/>
        <v>0.0406504065</v>
      </c>
      <c r="AR12" s="17"/>
      <c r="AS12" s="16">
        <v>85.0</v>
      </c>
      <c r="AT12" s="17"/>
      <c r="AU12" s="17"/>
      <c r="AV12" s="17"/>
      <c r="AW12" s="17"/>
      <c r="AX12" s="21" t="s">
        <v>87</v>
      </c>
      <c r="AY12" s="21" t="s">
        <v>88</v>
      </c>
      <c r="AZ12" s="17">
        <f t="shared" si="10"/>
        <v>0.05376344086</v>
      </c>
      <c r="BA12" s="16">
        <v>8.0</v>
      </c>
      <c r="BB12" s="16">
        <v>73.0</v>
      </c>
      <c r="BC12" s="17">
        <f t="shared" si="11"/>
        <v>0.1095890411</v>
      </c>
      <c r="BD12" s="17"/>
      <c r="BE12" s="16">
        <v>7.0</v>
      </c>
      <c r="BF12" s="17"/>
      <c r="BG12" s="17"/>
      <c r="BH12" s="18">
        <v>44.0</v>
      </c>
      <c r="BI12" s="17"/>
      <c r="BJ12" s="18">
        <v>10.0</v>
      </c>
      <c r="BK12" s="18">
        <v>235.0</v>
      </c>
      <c r="BL12" s="17">
        <f t="shared" si="12"/>
        <v>0.04255319149</v>
      </c>
      <c r="BM12" s="19">
        <v>0.0</v>
      </c>
      <c r="BN12" s="19">
        <v>45.0</v>
      </c>
      <c r="BO12" s="17">
        <f t="shared" si="13"/>
        <v>0</v>
      </c>
      <c r="BP12" s="16">
        <v>8.0</v>
      </c>
      <c r="BQ12" s="16">
        <v>100.0</v>
      </c>
      <c r="BR12" s="17">
        <f t="shared" si="14"/>
        <v>0.08</v>
      </c>
      <c r="BS12" s="16">
        <v>4.0</v>
      </c>
      <c r="BT12" s="16">
        <v>148.0</v>
      </c>
      <c r="BU12" s="17">
        <f t="shared" si="15"/>
        <v>0.02702702703</v>
      </c>
      <c r="BV12" s="18">
        <v>4.0</v>
      </c>
      <c r="BW12" s="18">
        <v>73.0</v>
      </c>
      <c r="BX12" s="17">
        <f t="shared" si="16"/>
        <v>0.05479452055</v>
      </c>
      <c r="BY12" s="16">
        <v>4.0</v>
      </c>
      <c r="BZ12" s="16">
        <v>95.0</v>
      </c>
      <c r="CA12" s="13">
        <f t="shared" si="59"/>
        <v>0.04210526316</v>
      </c>
      <c r="CB12" s="18">
        <v>0.0</v>
      </c>
      <c r="CC12" s="16">
        <v>43.0</v>
      </c>
      <c r="CD12" s="17">
        <f t="shared" si="17"/>
        <v>0</v>
      </c>
      <c r="CE12" s="16">
        <v>9.0</v>
      </c>
      <c r="CF12" s="8">
        <v>292.0</v>
      </c>
      <c r="CG12" s="17">
        <f t="shared" si="18"/>
        <v>0.03082191781</v>
      </c>
      <c r="CH12" s="16">
        <v>2.0</v>
      </c>
      <c r="CI12" s="16">
        <v>15.0</v>
      </c>
      <c r="CJ12" s="17">
        <f t="shared" si="19"/>
        <v>0.1333333333</v>
      </c>
      <c r="CK12" s="16">
        <v>4.0</v>
      </c>
      <c r="CL12" s="16">
        <v>92.0</v>
      </c>
      <c r="CM12" s="17">
        <f t="shared" si="20"/>
        <v>0.04347826087</v>
      </c>
      <c r="CN12" s="16">
        <v>1.0</v>
      </c>
      <c r="CO12" s="16">
        <v>76.0</v>
      </c>
      <c r="CP12" s="17">
        <f t="shared" si="21"/>
        <v>0.01315789474</v>
      </c>
      <c r="CQ12" s="16">
        <v>11.0</v>
      </c>
      <c r="CR12" s="16">
        <v>406.0</v>
      </c>
      <c r="CS12" s="17">
        <f t="shared" si="22"/>
        <v>0.02709359606</v>
      </c>
      <c r="CT12" s="16">
        <v>1.0</v>
      </c>
      <c r="CU12" s="16">
        <v>98.0</v>
      </c>
      <c r="CV12" s="17">
        <f t="shared" si="23"/>
        <v>0.01020408163</v>
      </c>
      <c r="CW12" s="16">
        <v>0.0</v>
      </c>
      <c r="CX12" s="16">
        <v>43.0</v>
      </c>
      <c r="CY12" s="17">
        <f t="shared" si="24"/>
        <v>0</v>
      </c>
      <c r="CZ12" s="16">
        <v>20.0</v>
      </c>
      <c r="DA12" s="16">
        <v>162.0</v>
      </c>
      <c r="DB12" s="17">
        <f t="shared" si="56"/>
        <v>0.1234567901</v>
      </c>
      <c r="DC12" s="16">
        <v>3.0</v>
      </c>
      <c r="DD12" s="16">
        <v>77.0</v>
      </c>
      <c r="DE12" s="17">
        <f t="shared" si="25"/>
        <v>0.03896103896</v>
      </c>
      <c r="DF12" s="16"/>
      <c r="DG12" s="16"/>
      <c r="DH12" s="17"/>
      <c r="DI12" s="16">
        <v>5.0</v>
      </c>
      <c r="DJ12" s="16">
        <v>139.0</v>
      </c>
      <c r="DK12" s="17">
        <f t="shared" si="26"/>
        <v>0.03597122302</v>
      </c>
      <c r="DL12" s="16">
        <v>1.0</v>
      </c>
      <c r="DM12" s="16">
        <v>24.0</v>
      </c>
      <c r="DN12" s="17">
        <f t="shared" si="27"/>
        <v>0.04166666667</v>
      </c>
      <c r="DO12" s="16">
        <v>2.0</v>
      </c>
      <c r="DP12" s="16">
        <v>94.0</v>
      </c>
      <c r="DQ12" s="17">
        <f t="shared" si="28"/>
        <v>0.02127659574</v>
      </c>
      <c r="DR12" s="16">
        <v>3.0</v>
      </c>
      <c r="DS12" s="16">
        <v>80.0</v>
      </c>
      <c r="DT12" s="17">
        <f t="shared" si="29"/>
        <v>0.0375</v>
      </c>
      <c r="DU12" s="16">
        <v>15.0</v>
      </c>
      <c r="DV12" s="16">
        <v>360.0</v>
      </c>
      <c r="DW12" s="17">
        <f t="shared" si="57"/>
        <v>0.04166666667</v>
      </c>
      <c r="DX12" s="16">
        <v>1.0</v>
      </c>
      <c r="DY12" s="16">
        <v>33.0</v>
      </c>
      <c r="DZ12" s="17">
        <f t="shared" si="30"/>
        <v>0.0303030303</v>
      </c>
      <c r="EA12" s="22">
        <v>14.0</v>
      </c>
      <c r="EB12" s="16">
        <v>349.0</v>
      </c>
      <c r="EC12" s="17">
        <f t="shared" si="31"/>
        <v>0.04011461318</v>
      </c>
      <c r="ED12" s="16">
        <v>4.0</v>
      </c>
      <c r="EE12" s="16">
        <v>34.0</v>
      </c>
      <c r="EF12" s="17">
        <f t="shared" si="32"/>
        <v>0.1176470588</v>
      </c>
      <c r="EG12" s="16">
        <v>4.0</v>
      </c>
      <c r="EH12" s="16">
        <v>71.0</v>
      </c>
      <c r="EI12" s="17">
        <f t="shared" si="33"/>
        <v>0.05633802817</v>
      </c>
      <c r="EJ12" s="16">
        <v>7.0</v>
      </c>
      <c r="EK12" s="16">
        <v>657.0</v>
      </c>
      <c r="EL12" s="17">
        <f t="shared" si="34"/>
        <v>0.01065449011</v>
      </c>
      <c r="EM12" s="16">
        <v>0.0</v>
      </c>
      <c r="EN12" s="16">
        <v>15.0</v>
      </c>
      <c r="EO12" s="17">
        <f t="shared" si="35"/>
        <v>0</v>
      </c>
      <c r="EP12" s="16"/>
      <c r="EQ12" s="16"/>
      <c r="ER12" s="17"/>
      <c r="ES12" s="16">
        <v>1.0</v>
      </c>
      <c r="ET12" s="16">
        <v>92.0</v>
      </c>
      <c r="EU12" s="17">
        <f t="shared" si="36"/>
        <v>0.01086956522</v>
      </c>
      <c r="EV12" s="16"/>
      <c r="EW12" s="16">
        <v>44.0</v>
      </c>
      <c r="EX12" s="17"/>
      <c r="EY12" s="16">
        <v>39.0</v>
      </c>
      <c r="EZ12" s="16">
        <v>363.0</v>
      </c>
      <c r="FA12" s="17">
        <f t="shared" si="37"/>
        <v>0.1074380165</v>
      </c>
      <c r="FB12" s="16">
        <v>124.0</v>
      </c>
      <c r="FC12" s="16">
        <v>1620.0</v>
      </c>
      <c r="FD12" s="17">
        <f t="shared" si="38"/>
        <v>0.06820682068</v>
      </c>
      <c r="FE12" s="8">
        <v>5.0</v>
      </c>
      <c r="FF12" s="16">
        <v>93.0</v>
      </c>
      <c r="FG12" s="17">
        <f t="shared" si="39"/>
        <v>0.05376344086</v>
      </c>
      <c r="FH12" s="16">
        <v>6.0</v>
      </c>
      <c r="FI12" s="16">
        <v>88.0</v>
      </c>
      <c r="FJ12" s="17">
        <f t="shared" si="40"/>
        <v>0.06818181818</v>
      </c>
      <c r="FK12" s="16">
        <v>2.0</v>
      </c>
      <c r="FL12" s="16">
        <v>71.0</v>
      </c>
      <c r="FM12" s="17">
        <f t="shared" si="41"/>
        <v>0.02816901408</v>
      </c>
      <c r="FN12" s="16">
        <v>8.0</v>
      </c>
      <c r="FO12" s="16">
        <v>78.0</v>
      </c>
      <c r="FP12" s="17">
        <f t="shared" si="42"/>
        <v>0.1025641026</v>
      </c>
      <c r="FQ12" s="16">
        <v>5.0</v>
      </c>
      <c r="FR12" s="16">
        <v>73.0</v>
      </c>
      <c r="FS12" s="17">
        <f t="shared" si="43"/>
        <v>0.06849315068</v>
      </c>
      <c r="FT12" s="16">
        <v>0.0</v>
      </c>
      <c r="FU12" s="16"/>
      <c r="FV12" s="16"/>
      <c r="FW12" s="16">
        <v>7.0</v>
      </c>
      <c r="FX12" s="16">
        <v>48.0</v>
      </c>
      <c r="FY12" s="17">
        <f t="shared" si="44"/>
        <v>0.1458333333</v>
      </c>
      <c r="FZ12" s="16">
        <v>2.0</v>
      </c>
      <c r="GA12" s="16"/>
      <c r="GB12" s="16"/>
      <c r="GC12" s="16">
        <v>1.0</v>
      </c>
      <c r="GD12" s="16">
        <v>88.0</v>
      </c>
      <c r="GE12" s="17">
        <f t="shared" si="45"/>
        <v>0.01136363636</v>
      </c>
      <c r="GF12" s="16">
        <v>6.0</v>
      </c>
      <c r="GG12" s="16">
        <v>215.0</v>
      </c>
      <c r="GH12" s="17">
        <f t="shared" si="46"/>
        <v>0.02790697674</v>
      </c>
      <c r="GI12" s="16">
        <v>15.0</v>
      </c>
      <c r="GJ12" s="16">
        <v>406.0</v>
      </c>
      <c r="GK12" s="17">
        <f t="shared" si="47"/>
        <v>0.03694581281</v>
      </c>
      <c r="GL12" s="16">
        <v>0.0</v>
      </c>
      <c r="GM12" s="16">
        <v>9.0</v>
      </c>
      <c r="GN12" s="17">
        <f t="shared" si="48"/>
        <v>0</v>
      </c>
      <c r="GO12" s="16">
        <v>3.0</v>
      </c>
      <c r="GP12" s="16">
        <v>25.0</v>
      </c>
      <c r="GQ12" s="17">
        <f t="shared" si="49"/>
        <v>0.12</v>
      </c>
      <c r="GR12" s="16">
        <v>1.0</v>
      </c>
      <c r="GS12" s="16">
        <v>40.0</v>
      </c>
      <c r="GT12" s="17">
        <f t="shared" si="50"/>
        <v>0.025</v>
      </c>
      <c r="GU12" s="8">
        <v>0.0</v>
      </c>
      <c r="GV12" s="16">
        <v>17.0</v>
      </c>
      <c r="GW12" s="17">
        <f t="shared" si="51"/>
        <v>0</v>
      </c>
      <c r="GX12" s="16">
        <v>23.0</v>
      </c>
      <c r="GY12" s="16">
        <v>650.0</v>
      </c>
      <c r="GZ12" s="16"/>
      <c r="HA12" s="16">
        <v>12.0</v>
      </c>
      <c r="HB12" s="16">
        <v>188.0</v>
      </c>
      <c r="HC12" s="17">
        <f t="shared" si="52"/>
        <v>0.06382978723</v>
      </c>
      <c r="HD12" s="16"/>
      <c r="HE12" s="16"/>
      <c r="HF12" s="16"/>
    </row>
    <row r="13" ht="15.75" customHeight="1">
      <c r="A13" s="1">
        <f t="shared" si="58"/>
        <v>44105</v>
      </c>
      <c r="B13" s="8">
        <v>112.0</v>
      </c>
      <c r="C13" s="8">
        <v>942.0</v>
      </c>
      <c r="D13" s="9">
        <f t="shared" si="1"/>
        <v>0.118895966</v>
      </c>
      <c r="E13" s="8">
        <v>3.0</v>
      </c>
      <c r="F13" s="8">
        <v>84.0</v>
      </c>
      <c r="G13" s="9">
        <f t="shared" si="2"/>
        <v>0.03571428571</v>
      </c>
      <c r="H13" s="8">
        <v>13.0</v>
      </c>
      <c r="I13" s="8">
        <v>616.0</v>
      </c>
      <c r="J13" s="9">
        <f t="shared" si="3"/>
        <v>0.0211038961</v>
      </c>
      <c r="M13" s="9"/>
      <c r="N13" s="8">
        <v>44.0</v>
      </c>
      <c r="O13" s="8">
        <v>1000.0</v>
      </c>
      <c r="P13" s="9">
        <f t="shared" si="4"/>
        <v>0.044</v>
      </c>
      <c r="T13" s="8">
        <v>23.0</v>
      </c>
      <c r="U13" s="8">
        <v>431.0</v>
      </c>
      <c r="V13" s="9">
        <f t="shared" si="53"/>
        <v>0.05336426914</v>
      </c>
      <c r="W13" s="8">
        <v>31.0</v>
      </c>
      <c r="X13" s="8">
        <v>446.0</v>
      </c>
      <c r="Y13" s="9">
        <f t="shared" si="5"/>
        <v>0.06950672646</v>
      </c>
      <c r="Z13" s="8">
        <v>4.0</v>
      </c>
      <c r="AA13" s="8">
        <v>208.0</v>
      </c>
      <c r="AB13" s="9">
        <f t="shared" si="54"/>
        <v>0.01923076923</v>
      </c>
      <c r="AC13" s="8">
        <v>20.0</v>
      </c>
      <c r="AD13" s="8">
        <v>940.0</v>
      </c>
      <c r="AE13" s="9">
        <f t="shared" si="55"/>
        <v>0.02127659574</v>
      </c>
      <c r="AF13" s="8">
        <v>12.0</v>
      </c>
      <c r="AG13" s="8">
        <v>389.0</v>
      </c>
      <c r="AH13" s="9">
        <f t="shared" si="6"/>
        <v>0.03084832905</v>
      </c>
      <c r="AI13" s="10">
        <v>5.0</v>
      </c>
      <c r="AJ13" s="8">
        <v>335.0</v>
      </c>
      <c r="AK13" s="9">
        <f t="shared" si="7"/>
        <v>0.01492537313</v>
      </c>
      <c r="AL13" s="16">
        <v>27.0</v>
      </c>
      <c r="AM13" s="16">
        <v>438.0</v>
      </c>
      <c r="AN13" s="17">
        <f t="shared" si="8"/>
        <v>0.06164383562</v>
      </c>
      <c r="AO13" s="18">
        <v>4.0</v>
      </c>
      <c r="AP13" s="18">
        <v>116.0</v>
      </c>
      <c r="AQ13" s="17">
        <f t="shared" si="9"/>
        <v>0.03448275862</v>
      </c>
      <c r="AR13" s="17"/>
      <c r="AS13" s="16">
        <v>96.0</v>
      </c>
      <c r="AT13" s="17"/>
      <c r="AU13" s="17"/>
      <c r="AV13" s="17"/>
      <c r="AW13" s="17"/>
      <c r="AX13" s="21" t="s">
        <v>85</v>
      </c>
      <c r="AY13" s="21" t="s">
        <v>89</v>
      </c>
      <c r="AZ13" s="17">
        <f t="shared" si="10"/>
        <v>0.0253164557</v>
      </c>
      <c r="BA13" s="16">
        <v>3.0</v>
      </c>
      <c r="BB13" s="16">
        <v>73.0</v>
      </c>
      <c r="BC13" s="17">
        <f t="shared" si="11"/>
        <v>0.04109589041</v>
      </c>
      <c r="BD13" s="17"/>
      <c r="BE13" s="16">
        <v>11.0</v>
      </c>
      <c r="BF13" s="17"/>
      <c r="BG13" s="17"/>
      <c r="BH13" s="18">
        <v>45.0</v>
      </c>
      <c r="BI13" s="17"/>
      <c r="BJ13" s="18">
        <v>4.0</v>
      </c>
      <c r="BK13" s="18">
        <v>232.0</v>
      </c>
      <c r="BL13" s="17">
        <f t="shared" si="12"/>
        <v>0.01724137931</v>
      </c>
      <c r="BM13" s="19">
        <v>1.0</v>
      </c>
      <c r="BN13" s="19">
        <v>27.0</v>
      </c>
      <c r="BO13" s="17">
        <f t="shared" si="13"/>
        <v>0.03703703704</v>
      </c>
      <c r="BP13" s="16">
        <v>4.0</v>
      </c>
      <c r="BQ13" s="16">
        <v>98.0</v>
      </c>
      <c r="BR13" s="17">
        <f t="shared" si="14"/>
        <v>0.04081632653</v>
      </c>
      <c r="BS13" s="16">
        <v>9.0</v>
      </c>
      <c r="BT13" s="16">
        <v>201.0</v>
      </c>
      <c r="BU13" s="17">
        <f t="shared" si="15"/>
        <v>0.0447761194</v>
      </c>
      <c r="BV13" s="18">
        <v>4.0</v>
      </c>
      <c r="BW13" s="18">
        <v>82.0</v>
      </c>
      <c r="BX13" s="17">
        <f t="shared" si="16"/>
        <v>0.0487804878</v>
      </c>
      <c r="BY13" s="16">
        <v>4.0</v>
      </c>
      <c r="BZ13" s="16">
        <v>102.0</v>
      </c>
      <c r="CA13" s="13">
        <f t="shared" si="59"/>
        <v>0.03921568627</v>
      </c>
      <c r="CB13" s="18">
        <v>0.0</v>
      </c>
      <c r="CC13" s="16">
        <v>57.0</v>
      </c>
      <c r="CD13" s="17">
        <f t="shared" si="17"/>
        <v>0</v>
      </c>
      <c r="CE13" s="16">
        <v>9.0</v>
      </c>
      <c r="CF13" s="8">
        <v>361.0</v>
      </c>
      <c r="CG13" s="17">
        <f t="shared" si="18"/>
        <v>0.02493074792</v>
      </c>
      <c r="CH13" s="16">
        <v>1.0</v>
      </c>
      <c r="CI13" s="16">
        <v>18.0</v>
      </c>
      <c r="CJ13" s="17">
        <f t="shared" si="19"/>
        <v>0.05555555556</v>
      </c>
      <c r="CK13" s="16">
        <v>1.0</v>
      </c>
      <c r="CL13" s="16">
        <v>83.0</v>
      </c>
      <c r="CM13" s="17">
        <f t="shared" si="20"/>
        <v>0.01204819277</v>
      </c>
      <c r="CN13" s="16">
        <v>5.0</v>
      </c>
      <c r="CO13" s="16">
        <v>77.0</v>
      </c>
      <c r="CP13" s="17">
        <f t="shared" si="21"/>
        <v>0.06493506494</v>
      </c>
      <c r="CQ13" s="16">
        <v>10.0</v>
      </c>
      <c r="CR13" s="16">
        <v>500.0</v>
      </c>
      <c r="CS13" s="17">
        <f t="shared" si="22"/>
        <v>0.02</v>
      </c>
      <c r="CT13" s="16">
        <v>3.0</v>
      </c>
      <c r="CU13" s="16">
        <v>93.0</v>
      </c>
      <c r="CV13" s="17">
        <f t="shared" si="23"/>
        <v>0.03225806452</v>
      </c>
      <c r="CW13" s="16">
        <v>0.0</v>
      </c>
      <c r="CX13" s="16">
        <v>57.0</v>
      </c>
      <c r="CY13" s="17">
        <f t="shared" si="24"/>
        <v>0</v>
      </c>
      <c r="CZ13" s="16">
        <v>19.0</v>
      </c>
      <c r="DA13" s="16">
        <v>171.0</v>
      </c>
      <c r="DB13" s="17">
        <f t="shared" si="56"/>
        <v>0.1111111111</v>
      </c>
      <c r="DC13" s="16">
        <v>1.0</v>
      </c>
      <c r="DD13" s="16">
        <v>67.0</v>
      </c>
      <c r="DE13" s="17">
        <f t="shared" si="25"/>
        <v>0.01492537313</v>
      </c>
      <c r="DF13" s="16"/>
      <c r="DG13" s="16"/>
      <c r="DH13" s="17"/>
      <c r="DI13" s="16">
        <v>8.0</v>
      </c>
      <c r="DJ13" s="16">
        <v>143.0</v>
      </c>
      <c r="DK13" s="17">
        <f t="shared" si="26"/>
        <v>0.05594405594</v>
      </c>
      <c r="DL13" s="16">
        <v>4.0</v>
      </c>
      <c r="DM13" s="16">
        <v>35.0</v>
      </c>
      <c r="DN13" s="17">
        <f t="shared" si="27"/>
        <v>0.1142857143</v>
      </c>
      <c r="DO13" s="16">
        <v>0.0</v>
      </c>
      <c r="DP13" s="16">
        <v>100.0</v>
      </c>
      <c r="DQ13" s="17">
        <f t="shared" si="28"/>
        <v>0</v>
      </c>
      <c r="DR13" s="16">
        <v>3.0</v>
      </c>
      <c r="DS13" s="16">
        <v>75.0</v>
      </c>
      <c r="DT13" s="17">
        <f t="shared" si="29"/>
        <v>0.04</v>
      </c>
      <c r="DU13" s="16">
        <v>19.0</v>
      </c>
      <c r="DV13" s="16">
        <v>339.0</v>
      </c>
      <c r="DW13" s="17">
        <f t="shared" si="57"/>
        <v>0.05604719764</v>
      </c>
      <c r="DX13" s="16">
        <v>1.0</v>
      </c>
      <c r="DY13" s="16">
        <v>29.0</v>
      </c>
      <c r="DZ13" s="17">
        <f t="shared" si="30"/>
        <v>0.03448275862</v>
      </c>
      <c r="EA13" s="22">
        <v>16.0</v>
      </c>
      <c r="EB13" s="16">
        <v>368.0</v>
      </c>
      <c r="EC13" s="17">
        <f t="shared" si="31"/>
        <v>0.04347826087</v>
      </c>
      <c r="ED13" s="16">
        <v>2.0</v>
      </c>
      <c r="EE13" s="16">
        <v>18.0</v>
      </c>
      <c r="EF13" s="17">
        <f t="shared" si="32"/>
        <v>0.1111111111</v>
      </c>
      <c r="EG13" s="16">
        <v>3.0</v>
      </c>
      <c r="EH13" s="16">
        <v>66.0</v>
      </c>
      <c r="EI13" s="17">
        <f t="shared" si="33"/>
        <v>0.04545454545</v>
      </c>
      <c r="EJ13" s="16">
        <v>7.0</v>
      </c>
      <c r="EK13" s="16">
        <v>677.0</v>
      </c>
      <c r="EL13" s="17">
        <f t="shared" si="34"/>
        <v>0.01033973412</v>
      </c>
      <c r="EM13" s="16">
        <v>1.0</v>
      </c>
      <c r="EN13" s="16">
        <v>21.0</v>
      </c>
      <c r="EO13" s="17">
        <f t="shared" si="35"/>
        <v>0.04761904762</v>
      </c>
      <c r="EP13" s="16"/>
      <c r="EQ13" s="16"/>
      <c r="ER13" s="17"/>
      <c r="ES13" s="16">
        <v>3.0</v>
      </c>
      <c r="ET13" s="16">
        <v>92.0</v>
      </c>
      <c r="EU13" s="17">
        <f t="shared" si="36"/>
        <v>0.03260869565</v>
      </c>
      <c r="EV13" s="16"/>
      <c r="EW13" s="16">
        <v>56.0</v>
      </c>
      <c r="EX13" s="17"/>
      <c r="EY13" s="16">
        <v>76.0</v>
      </c>
      <c r="EZ13" s="16">
        <v>441.0</v>
      </c>
      <c r="FA13" s="17">
        <f t="shared" si="37"/>
        <v>0.1723356009</v>
      </c>
      <c r="FB13" s="16">
        <v>137.0</v>
      </c>
      <c r="FC13" s="16">
        <v>1818.0</v>
      </c>
      <c r="FD13" s="17">
        <f t="shared" si="38"/>
        <v>0.0779294653</v>
      </c>
      <c r="FE13" s="8">
        <v>4.0</v>
      </c>
      <c r="FF13" s="16">
        <v>100.0</v>
      </c>
      <c r="FG13" s="17">
        <f t="shared" si="39"/>
        <v>0.04</v>
      </c>
      <c r="FH13" s="16">
        <v>3.0</v>
      </c>
      <c r="FI13" s="16">
        <v>96.0</v>
      </c>
      <c r="FJ13" s="17">
        <f t="shared" si="40"/>
        <v>0.03125</v>
      </c>
      <c r="FK13" s="16">
        <v>1.0</v>
      </c>
      <c r="FL13" s="16">
        <v>68.0</v>
      </c>
      <c r="FM13" s="17">
        <f t="shared" si="41"/>
        <v>0.01470588235</v>
      </c>
      <c r="FN13" s="16">
        <v>5.0</v>
      </c>
      <c r="FO13" s="16">
        <v>83.0</v>
      </c>
      <c r="FP13" s="17">
        <f t="shared" si="42"/>
        <v>0.06024096386</v>
      </c>
      <c r="FQ13" s="16">
        <v>8.0</v>
      </c>
      <c r="FR13" s="16">
        <v>63.0</v>
      </c>
      <c r="FS13" s="17">
        <f t="shared" si="43"/>
        <v>0.126984127</v>
      </c>
      <c r="FT13" s="16">
        <v>0.0</v>
      </c>
      <c r="FU13" s="16"/>
      <c r="FV13" s="16"/>
      <c r="FW13" s="16">
        <v>1.0</v>
      </c>
      <c r="FX13" s="16">
        <v>38.0</v>
      </c>
      <c r="FY13" s="17">
        <f t="shared" si="44"/>
        <v>0.02631578947</v>
      </c>
      <c r="FZ13" s="16">
        <v>5.0</v>
      </c>
      <c r="GA13" s="16"/>
      <c r="GB13" s="16"/>
      <c r="GC13" s="16">
        <v>2.0</v>
      </c>
      <c r="GD13" s="16">
        <v>76.0</v>
      </c>
      <c r="GE13" s="17">
        <f t="shared" si="45"/>
        <v>0.02631578947</v>
      </c>
      <c r="GF13" s="16">
        <v>7.0</v>
      </c>
      <c r="GG13" s="16">
        <v>198.0</v>
      </c>
      <c r="GH13" s="17">
        <f t="shared" si="46"/>
        <v>0.03535353535</v>
      </c>
      <c r="GI13" s="16">
        <v>18.0</v>
      </c>
      <c r="GJ13" s="16">
        <v>451.0</v>
      </c>
      <c r="GK13" s="17">
        <f t="shared" si="47"/>
        <v>0.0399113082</v>
      </c>
      <c r="GL13" s="16">
        <v>1.0</v>
      </c>
      <c r="GM13" s="16">
        <v>3.0</v>
      </c>
      <c r="GN13" s="17">
        <f t="shared" si="48"/>
        <v>0.3333333333</v>
      </c>
      <c r="GO13" s="16">
        <v>0.0</v>
      </c>
      <c r="GP13" s="16">
        <v>12.0</v>
      </c>
      <c r="GQ13" s="17">
        <f t="shared" si="49"/>
        <v>0</v>
      </c>
      <c r="GR13" s="16">
        <v>5.0</v>
      </c>
      <c r="GS13" s="16">
        <v>59.0</v>
      </c>
      <c r="GT13" s="17">
        <f t="shared" si="50"/>
        <v>0.08474576271</v>
      </c>
      <c r="GU13" s="8">
        <v>0.0</v>
      </c>
      <c r="GV13" s="16">
        <v>16.0</v>
      </c>
      <c r="GW13" s="17">
        <f t="shared" si="51"/>
        <v>0</v>
      </c>
      <c r="GX13" s="16">
        <v>29.0</v>
      </c>
      <c r="GY13" s="16">
        <v>709.0</v>
      </c>
      <c r="GZ13" s="16"/>
      <c r="HA13" s="16">
        <v>11.0</v>
      </c>
      <c r="HB13" s="16">
        <v>243.0</v>
      </c>
      <c r="HC13" s="17">
        <f t="shared" si="52"/>
        <v>0.04526748971</v>
      </c>
      <c r="HD13" s="16"/>
      <c r="HE13" s="16"/>
      <c r="HF13" s="16"/>
    </row>
    <row r="14" ht="15.75" customHeight="1">
      <c r="A14" s="1">
        <f t="shared" si="58"/>
        <v>44136</v>
      </c>
      <c r="B14" s="8">
        <v>155.0</v>
      </c>
      <c r="C14" s="8">
        <v>948.0</v>
      </c>
      <c r="D14" s="9">
        <f t="shared" si="1"/>
        <v>0.1635021097</v>
      </c>
      <c r="E14" s="8">
        <v>2.0</v>
      </c>
      <c r="F14" s="8">
        <v>72.0</v>
      </c>
      <c r="G14" s="9">
        <f t="shared" si="2"/>
        <v>0.02777777778</v>
      </c>
      <c r="H14" s="8">
        <v>17.0</v>
      </c>
      <c r="I14" s="8">
        <v>633.0</v>
      </c>
      <c r="J14" s="9">
        <f t="shared" si="3"/>
        <v>0.02685624013</v>
      </c>
      <c r="M14" s="9"/>
      <c r="N14" s="8">
        <v>52.0</v>
      </c>
      <c r="O14" s="8">
        <v>939.0</v>
      </c>
      <c r="P14" s="9">
        <f t="shared" si="4"/>
        <v>0.05537806177</v>
      </c>
      <c r="T14" s="8">
        <v>11.0</v>
      </c>
      <c r="U14" s="8">
        <v>410.0</v>
      </c>
      <c r="V14" s="9">
        <f t="shared" si="53"/>
        <v>0.02682926829</v>
      </c>
      <c r="W14" s="8">
        <v>17.0</v>
      </c>
      <c r="X14" s="8">
        <v>439.0</v>
      </c>
      <c r="Y14" s="9">
        <f t="shared" si="5"/>
        <v>0.03872437358</v>
      </c>
      <c r="Z14" s="8">
        <v>10.0</v>
      </c>
      <c r="AA14" s="8">
        <v>212.0</v>
      </c>
      <c r="AB14" s="9">
        <f t="shared" si="54"/>
        <v>0.04716981132</v>
      </c>
      <c r="AC14" s="8">
        <v>26.0</v>
      </c>
      <c r="AD14" s="8">
        <v>872.0</v>
      </c>
      <c r="AE14" s="9">
        <f t="shared" si="55"/>
        <v>0.02981651376</v>
      </c>
      <c r="AF14" s="8">
        <v>10.0</v>
      </c>
      <c r="AG14" s="8">
        <v>379.0</v>
      </c>
      <c r="AH14" s="9">
        <f t="shared" si="6"/>
        <v>0.02638522427</v>
      </c>
      <c r="AI14" s="10">
        <v>16.0</v>
      </c>
      <c r="AJ14" s="8">
        <v>415.0</v>
      </c>
      <c r="AK14" s="9">
        <f t="shared" si="7"/>
        <v>0.03855421687</v>
      </c>
      <c r="AL14" s="16">
        <v>13.0</v>
      </c>
      <c r="AM14" s="16">
        <v>321.0</v>
      </c>
      <c r="AN14" s="17">
        <f t="shared" si="8"/>
        <v>0.04049844237</v>
      </c>
      <c r="AO14" s="18">
        <v>8.0</v>
      </c>
      <c r="AP14" s="18">
        <v>144.0</v>
      </c>
      <c r="AQ14" s="17">
        <f t="shared" si="9"/>
        <v>0.05555555556</v>
      </c>
      <c r="AR14" s="17"/>
      <c r="AS14" s="16">
        <v>94.0</v>
      </c>
      <c r="AT14" s="17"/>
      <c r="AU14" s="17"/>
      <c r="AV14" s="17"/>
      <c r="AW14" s="17"/>
      <c r="AX14" s="21" t="s">
        <v>74</v>
      </c>
      <c r="AY14" s="21" t="s">
        <v>90</v>
      </c>
      <c r="AZ14" s="17">
        <f t="shared" si="10"/>
        <v>0.05263157895</v>
      </c>
      <c r="BA14" s="16">
        <v>1.0</v>
      </c>
      <c r="BB14" s="16">
        <v>39.0</v>
      </c>
      <c r="BC14" s="17">
        <f t="shared" si="11"/>
        <v>0.02564102564</v>
      </c>
      <c r="BD14" s="17"/>
      <c r="BE14" s="16">
        <v>8.0</v>
      </c>
      <c r="BF14" s="17"/>
      <c r="BG14" s="17"/>
      <c r="BH14" s="18">
        <v>47.0</v>
      </c>
      <c r="BI14" s="17"/>
      <c r="BJ14" s="18">
        <v>11.0</v>
      </c>
      <c r="BK14" s="18">
        <v>226.0</v>
      </c>
      <c r="BL14" s="17">
        <f t="shared" si="12"/>
        <v>0.04867256637</v>
      </c>
      <c r="BM14" s="19">
        <v>1.0</v>
      </c>
      <c r="BN14" s="19">
        <v>53.0</v>
      </c>
      <c r="BO14" s="17">
        <f t="shared" si="13"/>
        <v>0.01886792453</v>
      </c>
      <c r="BP14" s="16">
        <v>6.0</v>
      </c>
      <c r="BQ14" s="16">
        <v>108.0</v>
      </c>
      <c r="BR14" s="17">
        <f t="shared" si="14"/>
        <v>0.05555555556</v>
      </c>
      <c r="BS14" s="16">
        <v>16.0</v>
      </c>
      <c r="BT14" s="16">
        <v>173.0</v>
      </c>
      <c r="BU14" s="17">
        <f t="shared" si="15"/>
        <v>0.09248554913</v>
      </c>
      <c r="BV14" s="18">
        <v>3.0</v>
      </c>
      <c r="BW14" s="18">
        <v>96.0</v>
      </c>
      <c r="BX14" s="17">
        <f t="shared" si="16"/>
        <v>0.03125</v>
      </c>
      <c r="BY14" s="16">
        <v>3.0</v>
      </c>
      <c r="BZ14" s="16">
        <v>83.0</v>
      </c>
      <c r="CA14" s="13">
        <f t="shared" si="59"/>
        <v>0.03614457831</v>
      </c>
      <c r="CB14" s="18">
        <v>3.0</v>
      </c>
      <c r="CC14" s="16">
        <v>51.0</v>
      </c>
      <c r="CD14" s="17">
        <f t="shared" si="17"/>
        <v>0.05882352941</v>
      </c>
      <c r="CE14" s="16">
        <v>9.0</v>
      </c>
      <c r="CF14" s="8">
        <v>359.0</v>
      </c>
      <c r="CG14" s="17">
        <f t="shared" si="18"/>
        <v>0.02506963788</v>
      </c>
      <c r="CH14" s="16">
        <v>0.0</v>
      </c>
      <c r="CI14" s="16">
        <v>10.0</v>
      </c>
      <c r="CJ14" s="17">
        <f t="shared" si="19"/>
        <v>0</v>
      </c>
      <c r="CK14" s="16">
        <v>7.0</v>
      </c>
      <c r="CL14" s="16">
        <v>87.0</v>
      </c>
      <c r="CM14" s="17">
        <f t="shared" si="20"/>
        <v>0.08045977011</v>
      </c>
      <c r="CN14" s="16">
        <v>1.0</v>
      </c>
      <c r="CO14" s="16">
        <v>86.0</v>
      </c>
      <c r="CP14" s="17">
        <f t="shared" si="21"/>
        <v>0.01162790698</v>
      </c>
      <c r="CQ14" s="16">
        <v>19.0</v>
      </c>
      <c r="CR14" s="16">
        <v>648.0</v>
      </c>
      <c r="CS14" s="17">
        <f t="shared" si="22"/>
        <v>0.02932098765</v>
      </c>
      <c r="CT14" s="16">
        <v>3.0</v>
      </c>
      <c r="CU14" s="16">
        <v>118.0</v>
      </c>
      <c r="CV14" s="17">
        <f t="shared" si="23"/>
        <v>0.02542372881</v>
      </c>
      <c r="CW14" s="16">
        <v>3.0</v>
      </c>
      <c r="CX14" s="16">
        <v>51.0</v>
      </c>
      <c r="CY14" s="17">
        <f t="shared" si="24"/>
        <v>0.05882352941</v>
      </c>
      <c r="CZ14" s="16">
        <v>16.0</v>
      </c>
      <c r="DA14" s="16">
        <v>156.0</v>
      </c>
      <c r="DB14" s="17">
        <f t="shared" si="56"/>
        <v>0.1025641026</v>
      </c>
      <c r="DC14" s="16">
        <v>1.0</v>
      </c>
      <c r="DD14" s="16">
        <v>74.0</v>
      </c>
      <c r="DE14" s="17">
        <f t="shared" si="25"/>
        <v>0.01351351351</v>
      </c>
      <c r="DF14" s="16"/>
      <c r="DG14" s="16"/>
      <c r="DH14" s="17"/>
      <c r="DI14" s="16">
        <v>5.0</v>
      </c>
      <c r="DJ14" s="16">
        <v>184.0</v>
      </c>
      <c r="DK14" s="17">
        <f t="shared" si="26"/>
        <v>0.02717391304</v>
      </c>
      <c r="DL14" s="16">
        <v>1.0</v>
      </c>
      <c r="DM14" s="16">
        <v>28.0</v>
      </c>
      <c r="DN14" s="17">
        <f t="shared" si="27"/>
        <v>0.03571428571</v>
      </c>
      <c r="DO14" s="16">
        <v>1.0</v>
      </c>
      <c r="DP14" s="16">
        <v>113.0</v>
      </c>
      <c r="DQ14" s="17">
        <f t="shared" si="28"/>
        <v>0.008849557522</v>
      </c>
      <c r="DR14" s="16">
        <v>7.0</v>
      </c>
      <c r="DS14" s="16">
        <v>105.0</v>
      </c>
      <c r="DT14" s="17">
        <f t="shared" si="29"/>
        <v>0.06666666667</v>
      </c>
      <c r="DU14" s="16">
        <v>19.0</v>
      </c>
      <c r="DV14" s="16">
        <v>314.0</v>
      </c>
      <c r="DW14" s="17">
        <f t="shared" si="57"/>
        <v>0.06050955414</v>
      </c>
      <c r="DX14" s="16">
        <v>2.0</v>
      </c>
      <c r="DY14" s="16">
        <v>25.0</v>
      </c>
      <c r="DZ14" s="17">
        <f t="shared" si="30"/>
        <v>0.08</v>
      </c>
      <c r="EA14" s="22">
        <v>17.0</v>
      </c>
      <c r="EB14" s="16">
        <v>385.0</v>
      </c>
      <c r="EC14" s="17">
        <f t="shared" si="31"/>
        <v>0.04415584416</v>
      </c>
      <c r="ED14" s="16">
        <v>1.0</v>
      </c>
      <c r="EE14" s="16">
        <v>31.0</v>
      </c>
      <c r="EF14" s="17">
        <f t="shared" si="32"/>
        <v>0.03225806452</v>
      </c>
      <c r="EG14" s="16">
        <v>3.0</v>
      </c>
      <c r="EH14" s="16">
        <v>117.0</v>
      </c>
      <c r="EI14" s="17">
        <f t="shared" si="33"/>
        <v>0.02564102564</v>
      </c>
      <c r="EJ14" s="16">
        <v>11.0</v>
      </c>
      <c r="EK14" s="16">
        <v>699.0</v>
      </c>
      <c r="EL14" s="17">
        <f t="shared" si="34"/>
        <v>0.01573676681</v>
      </c>
      <c r="EM14" s="16">
        <v>1.0</v>
      </c>
      <c r="EN14" s="16">
        <v>18.0</v>
      </c>
      <c r="EO14" s="17">
        <f t="shared" si="35"/>
        <v>0.05555555556</v>
      </c>
      <c r="EP14" s="16">
        <v>4.0</v>
      </c>
      <c r="EQ14" s="16">
        <v>106.0</v>
      </c>
      <c r="ER14" s="17">
        <f t="shared" ref="ER14:ER47" si="60">EP14/EQ14</f>
        <v>0.03773584906</v>
      </c>
      <c r="ES14" s="16">
        <v>4.0</v>
      </c>
      <c r="ET14" s="16">
        <v>89.0</v>
      </c>
      <c r="EU14" s="17">
        <f t="shared" si="36"/>
        <v>0.04494382022</v>
      </c>
      <c r="EV14" s="16"/>
      <c r="EW14" s="16">
        <v>49.0</v>
      </c>
      <c r="EX14" s="17"/>
      <c r="EY14" s="16">
        <v>206.0</v>
      </c>
      <c r="EZ14" s="16">
        <v>505.0</v>
      </c>
      <c r="FA14" s="17">
        <f t="shared" si="37"/>
        <v>0.4079207921</v>
      </c>
      <c r="FB14" s="16">
        <v>187.0</v>
      </c>
      <c r="FC14" s="16">
        <v>1758.0</v>
      </c>
      <c r="FD14" s="17">
        <f t="shared" si="38"/>
        <v>0.1036585366</v>
      </c>
      <c r="FE14" s="8">
        <v>8.0</v>
      </c>
      <c r="FF14" s="16">
        <v>134.0</v>
      </c>
      <c r="FG14" s="17">
        <f t="shared" si="39"/>
        <v>0.05970149254</v>
      </c>
      <c r="FH14" s="16">
        <v>6.0</v>
      </c>
      <c r="FI14" s="16">
        <v>103.0</v>
      </c>
      <c r="FJ14" s="17">
        <f t="shared" si="40"/>
        <v>0.05825242718</v>
      </c>
      <c r="FK14" s="16">
        <v>1.0</v>
      </c>
      <c r="FL14" s="16">
        <v>65.0</v>
      </c>
      <c r="FM14" s="17">
        <f t="shared" si="41"/>
        <v>0.01538461538</v>
      </c>
      <c r="FN14" s="16">
        <v>14.0</v>
      </c>
      <c r="FO14" s="16">
        <v>106.0</v>
      </c>
      <c r="FP14" s="17">
        <f t="shared" si="42"/>
        <v>0.1320754717</v>
      </c>
      <c r="FQ14" s="16">
        <v>9.0</v>
      </c>
      <c r="FR14" s="16">
        <v>75.0</v>
      </c>
      <c r="FS14" s="17">
        <f t="shared" si="43"/>
        <v>0.12</v>
      </c>
      <c r="FT14" s="16">
        <v>1.0</v>
      </c>
      <c r="FU14" s="16"/>
      <c r="FV14" s="16"/>
      <c r="FW14" s="16">
        <v>2.0</v>
      </c>
      <c r="FX14" s="16">
        <v>25.0</v>
      </c>
      <c r="FY14" s="17">
        <f t="shared" si="44"/>
        <v>0.08</v>
      </c>
      <c r="FZ14" s="16">
        <v>9.0</v>
      </c>
      <c r="GA14" s="16"/>
      <c r="GB14" s="16"/>
      <c r="GC14" s="16">
        <v>0.0</v>
      </c>
      <c r="GD14" s="16">
        <v>107.0</v>
      </c>
      <c r="GE14" s="17">
        <f t="shared" si="45"/>
        <v>0</v>
      </c>
      <c r="GF14" s="16">
        <v>6.0</v>
      </c>
      <c r="GG14" s="16">
        <v>237.0</v>
      </c>
      <c r="GH14" s="17">
        <f t="shared" si="46"/>
        <v>0.0253164557</v>
      </c>
      <c r="GI14" s="16">
        <v>27.0</v>
      </c>
      <c r="GJ14" s="16">
        <v>458.0</v>
      </c>
      <c r="GK14" s="17">
        <f t="shared" si="47"/>
        <v>0.05895196507</v>
      </c>
      <c r="GL14" s="16">
        <v>0.0</v>
      </c>
      <c r="GM14" s="16">
        <v>1.0</v>
      </c>
      <c r="GN14" s="17">
        <f t="shared" si="48"/>
        <v>0</v>
      </c>
      <c r="GO14" s="16">
        <v>3.0</v>
      </c>
      <c r="GP14" s="16">
        <v>17.0</v>
      </c>
      <c r="GQ14" s="17">
        <f t="shared" si="49"/>
        <v>0.1764705882</v>
      </c>
      <c r="GR14" s="16">
        <v>4.0</v>
      </c>
      <c r="GS14" s="16">
        <v>45.0</v>
      </c>
      <c r="GT14" s="17">
        <f t="shared" si="50"/>
        <v>0.08888888889</v>
      </c>
      <c r="GU14" s="8">
        <v>0.0</v>
      </c>
      <c r="GV14" s="16">
        <v>26.0</v>
      </c>
      <c r="GW14" s="17">
        <f t="shared" si="51"/>
        <v>0</v>
      </c>
      <c r="GX14" s="16">
        <v>25.0</v>
      </c>
      <c r="GY14" s="16">
        <v>555.0</v>
      </c>
      <c r="GZ14" s="16"/>
      <c r="HA14" s="16">
        <v>14.0</v>
      </c>
      <c r="HB14" s="16">
        <v>225.0</v>
      </c>
      <c r="HC14" s="17">
        <f t="shared" si="52"/>
        <v>0.06222222222</v>
      </c>
      <c r="HD14" s="16"/>
      <c r="HE14" s="16"/>
      <c r="HF14" s="16"/>
    </row>
    <row r="15" ht="15.75" customHeight="1">
      <c r="A15" s="1">
        <f t="shared" si="58"/>
        <v>44166</v>
      </c>
      <c r="B15" s="8">
        <v>163.0</v>
      </c>
      <c r="C15" s="23">
        <v>1014.0</v>
      </c>
      <c r="D15" s="9">
        <f t="shared" si="1"/>
        <v>0.1607495069</v>
      </c>
      <c r="E15" s="8">
        <v>6.0</v>
      </c>
      <c r="F15" s="8">
        <v>111.0</v>
      </c>
      <c r="G15" s="9">
        <f t="shared" si="2"/>
        <v>0.05405405405</v>
      </c>
      <c r="H15" s="8">
        <v>14.0</v>
      </c>
      <c r="I15" s="8">
        <v>570.0</v>
      </c>
      <c r="J15" s="9">
        <f t="shared" si="3"/>
        <v>0.02456140351</v>
      </c>
      <c r="M15" s="9"/>
      <c r="N15" s="8">
        <v>61.0</v>
      </c>
      <c r="O15" s="8">
        <v>912.0</v>
      </c>
      <c r="P15" s="9">
        <f t="shared" si="4"/>
        <v>0.06688596491</v>
      </c>
      <c r="T15" s="8">
        <v>33.0</v>
      </c>
      <c r="U15" s="8">
        <v>443.0</v>
      </c>
      <c r="V15" s="9">
        <f t="shared" si="53"/>
        <v>0.07449209932</v>
      </c>
      <c r="W15" s="8">
        <v>26.0</v>
      </c>
      <c r="X15" s="8">
        <v>493.0</v>
      </c>
      <c r="Y15" s="9">
        <f t="shared" si="5"/>
        <v>0.05273833671</v>
      </c>
      <c r="Z15" s="8">
        <v>2.0</v>
      </c>
      <c r="AA15" s="8">
        <v>260.0</v>
      </c>
      <c r="AB15" s="9">
        <f t="shared" si="54"/>
        <v>0.007692307692</v>
      </c>
      <c r="AC15" s="8">
        <v>28.0</v>
      </c>
      <c r="AD15" s="8">
        <v>920.0</v>
      </c>
      <c r="AE15" s="9">
        <f t="shared" si="55"/>
        <v>0.03043478261</v>
      </c>
      <c r="AF15" s="8">
        <v>11.0</v>
      </c>
      <c r="AG15" s="8">
        <v>423.0</v>
      </c>
      <c r="AH15" s="9">
        <f t="shared" si="6"/>
        <v>0.02600472813</v>
      </c>
      <c r="AI15" s="10">
        <v>11.0</v>
      </c>
      <c r="AJ15" s="8">
        <v>474.0</v>
      </c>
      <c r="AK15" s="9">
        <f t="shared" si="7"/>
        <v>0.02320675105</v>
      </c>
      <c r="AL15" s="16">
        <v>16.0</v>
      </c>
      <c r="AM15" s="16">
        <v>324.0</v>
      </c>
      <c r="AN15" s="17">
        <f t="shared" si="8"/>
        <v>0.04938271605</v>
      </c>
      <c r="AO15" s="18">
        <v>9.0</v>
      </c>
      <c r="AP15" s="18">
        <v>121.0</v>
      </c>
      <c r="AQ15" s="17">
        <f t="shared" si="9"/>
        <v>0.07438016529</v>
      </c>
      <c r="AR15" s="17"/>
      <c r="AS15" s="16">
        <v>79.0</v>
      </c>
      <c r="AT15" s="17"/>
      <c r="AU15" s="17"/>
      <c r="AV15" s="17"/>
      <c r="AW15" s="17"/>
      <c r="AX15" s="8">
        <v>5.0</v>
      </c>
      <c r="AY15" s="21" t="s">
        <v>84</v>
      </c>
      <c r="AZ15" s="17">
        <f t="shared" si="10"/>
        <v>0.06172839506</v>
      </c>
      <c r="BA15" s="16">
        <v>3.0</v>
      </c>
      <c r="BB15" s="16">
        <v>61.0</v>
      </c>
      <c r="BC15" s="17">
        <f t="shared" si="11"/>
        <v>0.04918032787</v>
      </c>
      <c r="BD15" s="17"/>
      <c r="BE15" s="16">
        <v>8.0</v>
      </c>
      <c r="BF15" s="17"/>
      <c r="BG15" s="17"/>
      <c r="BH15" s="18">
        <v>60.0</v>
      </c>
      <c r="BI15" s="17"/>
      <c r="BJ15" s="18">
        <v>11.0</v>
      </c>
      <c r="BK15" s="18">
        <v>268.0</v>
      </c>
      <c r="BL15" s="17">
        <f t="shared" si="12"/>
        <v>0.04104477612</v>
      </c>
      <c r="BM15" s="19">
        <v>1.0</v>
      </c>
      <c r="BN15" s="19">
        <v>42.0</v>
      </c>
      <c r="BO15" s="17">
        <f t="shared" si="13"/>
        <v>0.02380952381</v>
      </c>
      <c r="BP15" s="16">
        <v>5.0</v>
      </c>
      <c r="BQ15" s="16">
        <v>90.0</v>
      </c>
      <c r="BR15" s="17">
        <f t="shared" si="14"/>
        <v>0.05555555556</v>
      </c>
      <c r="BS15" s="16">
        <v>13.0</v>
      </c>
      <c r="BT15" s="16">
        <v>178.0</v>
      </c>
      <c r="BU15" s="17">
        <f t="shared" si="15"/>
        <v>0.07303370787</v>
      </c>
      <c r="BV15" s="18">
        <v>2.0</v>
      </c>
      <c r="BW15" s="18">
        <v>86.0</v>
      </c>
      <c r="BX15" s="17">
        <f t="shared" si="16"/>
        <v>0.02325581395</v>
      </c>
      <c r="BY15" s="16">
        <v>3.0</v>
      </c>
      <c r="BZ15" s="16">
        <v>86.0</v>
      </c>
      <c r="CA15" s="13">
        <f t="shared" si="59"/>
        <v>0.03488372093</v>
      </c>
      <c r="CB15" s="18">
        <v>0.0</v>
      </c>
      <c r="CC15" s="16">
        <v>52.0</v>
      </c>
      <c r="CD15" s="17">
        <f t="shared" si="17"/>
        <v>0</v>
      </c>
      <c r="CE15" s="16">
        <v>9.0</v>
      </c>
      <c r="CF15" s="8">
        <v>380.0</v>
      </c>
      <c r="CG15" s="17">
        <f t="shared" si="18"/>
        <v>0.02368421053</v>
      </c>
      <c r="CH15" s="16">
        <v>2.0</v>
      </c>
      <c r="CI15" s="16">
        <v>10.0</v>
      </c>
      <c r="CJ15" s="17">
        <f t="shared" si="19"/>
        <v>0.2</v>
      </c>
      <c r="CK15" s="16">
        <v>5.0</v>
      </c>
      <c r="CL15" s="16">
        <v>90.0</v>
      </c>
      <c r="CM15" s="17">
        <f t="shared" si="20"/>
        <v>0.05555555556</v>
      </c>
      <c r="CN15" s="16">
        <v>3.0</v>
      </c>
      <c r="CO15" s="16">
        <v>95.0</v>
      </c>
      <c r="CP15" s="17">
        <f t="shared" si="21"/>
        <v>0.03157894737</v>
      </c>
      <c r="CQ15" s="16">
        <v>17.0</v>
      </c>
      <c r="CR15" s="16">
        <v>623.0</v>
      </c>
      <c r="CS15" s="17">
        <f t="shared" si="22"/>
        <v>0.02728731942</v>
      </c>
      <c r="CT15" s="16">
        <v>4.0</v>
      </c>
      <c r="CU15" s="16">
        <v>108.0</v>
      </c>
      <c r="CV15" s="17">
        <f t="shared" si="23"/>
        <v>0.03703703704</v>
      </c>
      <c r="CW15" s="16">
        <v>0.0</v>
      </c>
      <c r="CX15" s="16">
        <v>52.0</v>
      </c>
      <c r="CY15" s="17">
        <f t="shared" si="24"/>
        <v>0</v>
      </c>
      <c r="CZ15" s="16">
        <v>15.0</v>
      </c>
      <c r="DA15" s="16">
        <v>158.0</v>
      </c>
      <c r="DB15" s="17">
        <f t="shared" si="56"/>
        <v>0.09493670886</v>
      </c>
      <c r="DC15" s="16">
        <v>4.0</v>
      </c>
      <c r="DD15" s="16">
        <v>67.0</v>
      </c>
      <c r="DE15" s="17">
        <f t="shared" si="25"/>
        <v>0.05970149254</v>
      </c>
      <c r="DF15" s="16"/>
      <c r="DG15" s="16"/>
      <c r="DH15" s="17"/>
      <c r="DI15" s="16">
        <v>4.0</v>
      </c>
      <c r="DJ15" s="16">
        <v>177.0</v>
      </c>
      <c r="DK15" s="17">
        <f t="shared" si="26"/>
        <v>0.02259887006</v>
      </c>
      <c r="DL15" s="16">
        <v>2.0</v>
      </c>
      <c r="DM15" s="16">
        <v>24.0</v>
      </c>
      <c r="DN15" s="17">
        <f t="shared" si="27"/>
        <v>0.08333333333</v>
      </c>
      <c r="DO15" s="16">
        <v>0.0</v>
      </c>
      <c r="DP15" s="16">
        <v>108.0</v>
      </c>
      <c r="DQ15" s="17">
        <f t="shared" si="28"/>
        <v>0</v>
      </c>
      <c r="DR15" s="16">
        <v>8.0</v>
      </c>
      <c r="DS15" s="16">
        <v>124.0</v>
      </c>
      <c r="DT15" s="17">
        <f t="shared" si="29"/>
        <v>0.06451612903</v>
      </c>
      <c r="DU15" s="16">
        <v>23.0</v>
      </c>
      <c r="DV15" s="16">
        <v>319.0</v>
      </c>
      <c r="DW15" s="17">
        <f t="shared" si="57"/>
        <v>0.07210031348</v>
      </c>
      <c r="DX15" s="16">
        <v>0.0</v>
      </c>
      <c r="DY15" s="16">
        <v>15.0</v>
      </c>
      <c r="DZ15" s="17">
        <f t="shared" si="30"/>
        <v>0</v>
      </c>
      <c r="EA15" s="22">
        <v>11.0</v>
      </c>
      <c r="EB15" s="16">
        <v>346.0</v>
      </c>
      <c r="EC15" s="17">
        <f t="shared" si="31"/>
        <v>0.03179190751</v>
      </c>
      <c r="ED15" s="16">
        <v>1.0</v>
      </c>
      <c r="EE15" s="16">
        <v>31.0</v>
      </c>
      <c r="EF15" s="17">
        <f t="shared" si="32"/>
        <v>0.03225806452</v>
      </c>
      <c r="EG15" s="16">
        <v>3.0</v>
      </c>
      <c r="EH15" s="16">
        <v>82.0</v>
      </c>
      <c r="EI15" s="17">
        <f t="shared" si="33"/>
        <v>0.03658536585</v>
      </c>
      <c r="EJ15" s="16">
        <v>7.0</v>
      </c>
      <c r="EK15" s="16">
        <v>745.0</v>
      </c>
      <c r="EL15" s="17">
        <f t="shared" si="34"/>
        <v>0.009395973154</v>
      </c>
      <c r="EM15" s="16">
        <v>1.0</v>
      </c>
      <c r="EN15" s="16">
        <v>19.0</v>
      </c>
      <c r="EO15" s="17">
        <f t="shared" si="35"/>
        <v>0.05263157895</v>
      </c>
      <c r="EP15" s="16">
        <v>4.0</v>
      </c>
      <c r="EQ15" s="16">
        <v>134.0</v>
      </c>
      <c r="ER15" s="17">
        <f t="shared" si="60"/>
        <v>0.02985074627</v>
      </c>
      <c r="ES15" s="16">
        <v>1.0</v>
      </c>
      <c r="ET15" s="16">
        <v>78.0</v>
      </c>
      <c r="EU15" s="17">
        <f t="shared" si="36"/>
        <v>0.01282051282</v>
      </c>
      <c r="EV15" s="16"/>
      <c r="EW15" s="16">
        <v>42.0</v>
      </c>
      <c r="EX15" s="17"/>
      <c r="EY15" s="16">
        <v>396.0</v>
      </c>
      <c r="EZ15" s="16">
        <v>704.0</v>
      </c>
      <c r="FA15" s="17">
        <f t="shared" si="37"/>
        <v>0.5625</v>
      </c>
      <c r="FB15" s="16">
        <v>111.0</v>
      </c>
      <c r="FC15" s="16">
        <v>1804.0</v>
      </c>
      <c r="FD15" s="17">
        <f t="shared" si="38"/>
        <v>0.05932656334</v>
      </c>
      <c r="FE15" s="8">
        <v>9.0</v>
      </c>
      <c r="FF15" s="16">
        <v>125.0</v>
      </c>
      <c r="FG15" s="17">
        <f t="shared" si="39"/>
        <v>0.072</v>
      </c>
      <c r="FH15" s="16">
        <v>4.0</v>
      </c>
      <c r="FI15" s="16">
        <v>68.0</v>
      </c>
      <c r="FJ15" s="17">
        <f t="shared" si="40"/>
        <v>0.05882352941</v>
      </c>
      <c r="FK15" s="16">
        <v>2.0</v>
      </c>
      <c r="FL15" s="16">
        <v>60.0</v>
      </c>
      <c r="FM15" s="17">
        <f t="shared" si="41"/>
        <v>0.03333333333</v>
      </c>
      <c r="FN15" s="16">
        <v>11.0</v>
      </c>
      <c r="FO15" s="16">
        <v>126.0</v>
      </c>
      <c r="FP15" s="17">
        <f t="shared" si="42"/>
        <v>0.0873015873</v>
      </c>
      <c r="FQ15" s="16">
        <v>9.0</v>
      </c>
      <c r="FR15" s="16">
        <v>67.0</v>
      </c>
      <c r="FS15" s="17">
        <f t="shared" si="43"/>
        <v>0.1343283582</v>
      </c>
      <c r="FT15" s="16">
        <v>3.0</v>
      </c>
      <c r="FU15" s="16"/>
      <c r="FV15" s="16"/>
      <c r="FW15" s="16">
        <v>6.0</v>
      </c>
      <c r="FX15" s="16">
        <v>37.0</v>
      </c>
      <c r="FY15" s="17">
        <f t="shared" si="44"/>
        <v>0.1621621622</v>
      </c>
      <c r="FZ15" s="16">
        <v>3.0</v>
      </c>
      <c r="GA15" s="16"/>
      <c r="GB15" s="16"/>
      <c r="GC15" s="16">
        <v>0.0</v>
      </c>
      <c r="GD15" s="16">
        <v>61.0</v>
      </c>
      <c r="GE15" s="17">
        <f t="shared" si="45"/>
        <v>0</v>
      </c>
      <c r="GF15" s="16">
        <v>10.0</v>
      </c>
      <c r="GG15" s="16">
        <v>243.0</v>
      </c>
      <c r="GH15" s="17">
        <f t="shared" si="46"/>
        <v>0.04115226337</v>
      </c>
      <c r="GI15" s="16">
        <v>29.0</v>
      </c>
      <c r="GJ15" s="16">
        <v>443.0</v>
      </c>
      <c r="GK15" s="17">
        <f t="shared" si="47"/>
        <v>0.06546275395</v>
      </c>
      <c r="GL15" s="16">
        <v>0.0</v>
      </c>
      <c r="GM15" s="16">
        <v>0.0</v>
      </c>
      <c r="GN15" s="16" t="s">
        <v>91</v>
      </c>
      <c r="GO15" s="16">
        <v>2.0</v>
      </c>
      <c r="GP15" s="16">
        <v>26.0</v>
      </c>
      <c r="GQ15" s="17">
        <f t="shared" si="49"/>
        <v>0.07692307692</v>
      </c>
      <c r="GR15" s="16">
        <v>6.0</v>
      </c>
      <c r="GS15" s="16">
        <v>35.0</v>
      </c>
      <c r="GT15" s="17">
        <f t="shared" si="50"/>
        <v>0.1714285714</v>
      </c>
      <c r="GU15" s="8">
        <v>2.0</v>
      </c>
      <c r="GV15" s="16">
        <v>29.0</v>
      </c>
      <c r="GW15" s="17">
        <f t="shared" si="51"/>
        <v>0.06896551724</v>
      </c>
      <c r="GX15" s="16">
        <v>27.0</v>
      </c>
      <c r="GY15" s="16">
        <v>623.0</v>
      </c>
      <c r="GZ15" s="16"/>
      <c r="HA15" s="16">
        <v>4.0</v>
      </c>
      <c r="HB15" s="16">
        <v>225.0</v>
      </c>
      <c r="HC15" s="17">
        <f t="shared" si="52"/>
        <v>0.01777777778</v>
      </c>
      <c r="HD15" s="16"/>
      <c r="HE15" s="16"/>
      <c r="HF15" s="16"/>
    </row>
    <row r="16" ht="15.75" customHeight="1">
      <c r="A16" s="1">
        <f t="shared" si="58"/>
        <v>44197</v>
      </c>
      <c r="B16" s="8">
        <v>209.0</v>
      </c>
      <c r="C16" s="23">
        <v>1039.0</v>
      </c>
      <c r="D16" s="9">
        <f t="shared" si="1"/>
        <v>0.2011549567</v>
      </c>
      <c r="E16" s="8">
        <v>5.0</v>
      </c>
      <c r="F16" s="8">
        <v>111.0</v>
      </c>
      <c r="G16" s="9">
        <f t="shared" si="2"/>
        <v>0.04504504505</v>
      </c>
      <c r="H16" s="8">
        <v>27.0</v>
      </c>
      <c r="I16" s="8">
        <v>555.0</v>
      </c>
      <c r="J16" s="9">
        <f t="shared" si="3"/>
        <v>0.04864864865</v>
      </c>
      <c r="K16" s="8">
        <v>30.0</v>
      </c>
      <c r="L16" s="8">
        <v>364.0</v>
      </c>
      <c r="M16" s="9">
        <f t="shared" ref="M16:M47" si="61">K16/L16</f>
        <v>0.08241758242</v>
      </c>
      <c r="N16" s="8">
        <v>56.0</v>
      </c>
      <c r="O16" s="8">
        <v>802.0</v>
      </c>
      <c r="P16" s="9">
        <f t="shared" si="4"/>
        <v>0.06982543641</v>
      </c>
      <c r="Q16" s="8">
        <v>2.0</v>
      </c>
      <c r="T16" s="8">
        <v>35.0</v>
      </c>
      <c r="U16" s="8">
        <v>459.0</v>
      </c>
      <c r="V16" s="9">
        <f t="shared" si="53"/>
        <v>0.07625272331</v>
      </c>
      <c r="W16" s="8">
        <v>14.0</v>
      </c>
      <c r="X16" s="8">
        <v>514.0</v>
      </c>
      <c r="Y16" s="9">
        <f t="shared" si="5"/>
        <v>0.02723735409</v>
      </c>
      <c r="Z16" s="8">
        <v>5.0</v>
      </c>
      <c r="AA16" s="8">
        <v>304.0</v>
      </c>
      <c r="AB16" s="9">
        <f t="shared" si="54"/>
        <v>0.01644736842</v>
      </c>
      <c r="AC16" s="8">
        <v>23.0</v>
      </c>
      <c r="AD16" s="8">
        <v>813.0</v>
      </c>
      <c r="AE16" s="9">
        <f t="shared" si="55"/>
        <v>0.0282902829</v>
      </c>
      <c r="AF16" s="8">
        <v>11.0</v>
      </c>
      <c r="AG16" s="8">
        <v>332.0</v>
      </c>
      <c r="AH16" s="9">
        <f t="shared" si="6"/>
        <v>0.03313253012</v>
      </c>
      <c r="AI16" s="10">
        <v>12.0</v>
      </c>
      <c r="AJ16" s="8">
        <v>405.0</v>
      </c>
      <c r="AK16" s="9">
        <f t="shared" si="7"/>
        <v>0.02962962963</v>
      </c>
      <c r="AL16" s="16">
        <v>21.0</v>
      </c>
      <c r="AM16" s="16">
        <v>275.0</v>
      </c>
      <c r="AN16" s="17">
        <f t="shared" si="8"/>
        <v>0.07636363636</v>
      </c>
      <c r="AO16" s="18">
        <v>5.0</v>
      </c>
      <c r="AP16" s="18">
        <v>96.0</v>
      </c>
      <c r="AQ16" s="17">
        <f t="shared" si="9"/>
        <v>0.05208333333</v>
      </c>
      <c r="AR16" s="17"/>
      <c r="AS16" s="16">
        <v>76.0</v>
      </c>
      <c r="AT16" s="17"/>
      <c r="AU16" s="16">
        <v>34.0</v>
      </c>
      <c r="AV16" s="16">
        <v>399.0</v>
      </c>
      <c r="AW16" s="16"/>
      <c r="AX16" s="8">
        <v>0.0</v>
      </c>
      <c r="AY16" s="16">
        <v>70.0</v>
      </c>
      <c r="AZ16" s="17">
        <f t="shared" si="10"/>
        <v>0</v>
      </c>
      <c r="BA16" s="16">
        <v>3.0</v>
      </c>
      <c r="BB16" s="16">
        <v>65.0</v>
      </c>
      <c r="BC16" s="17">
        <f t="shared" si="11"/>
        <v>0.04615384615</v>
      </c>
      <c r="BD16" s="16"/>
      <c r="BE16" s="16">
        <v>13.0</v>
      </c>
      <c r="BF16" s="16"/>
      <c r="BG16" s="16"/>
      <c r="BH16" s="18">
        <v>30.0</v>
      </c>
      <c r="BI16" s="16"/>
      <c r="BJ16" s="18">
        <v>11.0</v>
      </c>
      <c r="BK16" s="18">
        <v>269.0</v>
      </c>
      <c r="BL16" s="17">
        <f t="shared" si="12"/>
        <v>0.04089219331</v>
      </c>
      <c r="BM16" s="19">
        <v>1.0</v>
      </c>
      <c r="BN16" s="19">
        <v>37.0</v>
      </c>
      <c r="BO16" s="17">
        <f t="shared" si="13"/>
        <v>0.02702702703</v>
      </c>
      <c r="BP16" s="16">
        <v>3.0</v>
      </c>
      <c r="BQ16" s="16">
        <v>76.0</v>
      </c>
      <c r="BR16" s="17">
        <f t="shared" si="14"/>
        <v>0.03947368421</v>
      </c>
      <c r="BS16" s="16">
        <v>22.0</v>
      </c>
      <c r="BT16" s="16">
        <v>234.0</v>
      </c>
      <c r="BU16" s="17">
        <f t="shared" si="15"/>
        <v>0.09401709402</v>
      </c>
      <c r="BV16" s="18">
        <v>1.0</v>
      </c>
      <c r="BW16" s="18">
        <v>106.0</v>
      </c>
      <c r="BX16" s="17">
        <f t="shared" si="16"/>
        <v>0.009433962264</v>
      </c>
      <c r="BY16" s="16">
        <v>0.0</v>
      </c>
      <c r="BZ16" s="16">
        <v>114.0</v>
      </c>
      <c r="CA16" s="13">
        <f t="shared" si="59"/>
        <v>0</v>
      </c>
      <c r="CB16" s="18">
        <v>0.0</v>
      </c>
      <c r="CC16" s="16">
        <v>59.0</v>
      </c>
      <c r="CD16" s="17">
        <f t="shared" si="17"/>
        <v>0</v>
      </c>
      <c r="CE16" s="16">
        <v>14.0</v>
      </c>
      <c r="CF16" s="8">
        <v>363.0</v>
      </c>
      <c r="CG16" s="17">
        <f t="shared" si="18"/>
        <v>0.03856749311</v>
      </c>
      <c r="CH16" s="16">
        <v>0.0</v>
      </c>
      <c r="CI16" s="16">
        <v>17.0</v>
      </c>
      <c r="CJ16" s="17">
        <f t="shared" si="19"/>
        <v>0</v>
      </c>
      <c r="CK16" s="16">
        <v>4.0</v>
      </c>
      <c r="CL16" s="16">
        <v>108.0</v>
      </c>
      <c r="CM16" s="17">
        <f t="shared" si="20"/>
        <v>0.03703703704</v>
      </c>
      <c r="CN16" s="16">
        <v>3.0</v>
      </c>
      <c r="CO16" s="16">
        <v>89.0</v>
      </c>
      <c r="CP16" s="17">
        <f t="shared" si="21"/>
        <v>0.03370786517</v>
      </c>
      <c r="CQ16" s="16">
        <v>19.0</v>
      </c>
      <c r="CR16" s="16">
        <v>673.0</v>
      </c>
      <c r="CS16" s="17">
        <f t="shared" si="22"/>
        <v>0.02823179792</v>
      </c>
      <c r="CT16" s="16">
        <v>3.0</v>
      </c>
      <c r="CU16" s="16">
        <v>120.0</v>
      </c>
      <c r="CV16" s="17">
        <f t="shared" si="23"/>
        <v>0.025</v>
      </c>
      <c r="CW16" s="16">
        <v>0.0</v>
      </c>
      <c r="CX16" s="16">
        <v>59.0</v>
      </c>
      <c r="CY16" s="17">
        <f t="shared" si="24"/>
        <v>0</v>
      </c>
      <c r="CZ16" s="16">
        <v>21.0</v>
      </c>
      <c r="DA16" s="16">
        <v>165.0</v>
      </c>
      <c r="DB16" s="17">
        <f t="shared" si="56"/>
        <v>0.1272727273</v>
      </c>
      <c r="DC16" s="16">
        <v>6.0</v>
      </c>
      <c r="DD16" s="16">
        <v>69.0</v>
      </c>
      <c r="DE16" s="17">
        <f t="shared" si="25"/>
        <v>0.08695652174</v>
      </c>
      <c r="DF16" s="16">
        <v>1.0</v>
      </c>
      <c r="DG16" s="16">
        <v>72.0</v>
      </c>
      <c r="DH16" s="17">
        <f t="shared" ref="DH16:DH47" si="62">DF16/DG16</f>
        <v>0.01388888889</v>
      </c>
      <c r="DI16" s="16">
        <v>7.0</v>
      </c>
      <c r="DJ16" s="16">
        <v>217.0</v>
      </c>
      <c r="DK16" s="17">
        <f t="shared" si="26"/>
        <v>0.03225806452</v>
      </c>
      <c r="DL16" s="16">
        <v>2.0</v>
      </c>
      <c r="DM16" s="16">
        <v>29.0</v>
      </c>
      <c r="DN16" s="17">
        <f t="shared" si="27"/>
        <v>0.06896551724</v>
      </c>
      <c r="DO16" s="16">
        <v>6.0</v>
      </c>
      <c r="DP16" s="16">
        <v>118.0</v>
      </c>
      <c r="DQ16" s="17">
        <f t="shared" si="28"/>
        <v>0.05084745763</v>
      </c>
      <c r="DR16" s="16">
        <v>7.0</v>
      </c>
      <c r="DS16" s="16">
        <v>98.0</v>
      </c>
      <c r="DT16" s="17">
        <f t="shared" si="29"/>
        <v>0.07142857143</v>
      </c>
      <c r="DU16" s="16">
        <v>18.0</v>
      </c>
      <c r="DV16" s="16">
        <v>305.0</v>
      </c>
      <c r="DW16" s="17">
        <f t="shared" si="57"/>
        <v>0.05901639344</v>
      </c>
      <c r="DX16" s="16">
        <v>1.0</v>
      </c>
      <c r="DY16" s="16">
        <v>27.0</v>
      </c>
      <c r="DZ16" s="17">
        <f t="shared" si="30"/>
        <v>0.03703703704</v>
      </c>
      <c r="EA16" s="22">
        <v>9.0</v>
      </c>
      <c r="EB16" s="16">
        <v>318.0</v>
      </c>
      <c r="EC16" s="17">
        <f t="shared" si="31"/>
        <v>0.02830188679</v>
      </c>
      <c r="ED16" s="16">
        <v>6.0</v>
      </c>
      <c r="EE16" s="16">
        <v>34.0</v>
      </c>
      <c r="EF16" s="17">
        <f t="shared" si="32"/>
        <v>0.1764705882</v>
      </c>
      <c r="EG16" s="16">
        <v>4.0</v>
      </c>
      <c r="EH16" s="16">
        <v>112.0</v>
      </c>
      <c r="EI16" s="17">
        <f t="shared" si="33"/>
        <v>0.03571428571</v>
      </c>
      <c r="EJ16" s="16">
        <v>15.0</v>
      </c>
      <c r="EK16" s="16">
        <v>749.0</v>
      </c>
      <c r="EL16" s="17">
        <f t="shared" si="34"/>
        <v>0.02002670227</v>
      </c>
      <c r="EM16" s="16">
        <v>0.0</v>
      </c>
      <c r="EN16" s="16">
        <v>14.0</v>
      </c>
      <c r="EO16" s="17">
        <f t="shared" si="35"/>
        <v>0</v>
      </c>
      <c r="EP16" s="16">
        <v>5.0</v>
      </c>
      <c r="EQ16" s="16">
        <v>120.0</v>
      </c>
      <c r="ER16" s="17">
        <f t="shared" si="60"/>
        <v>0.04166666667</v>
      </c>
      <c r="ES16" s="16">
        <v>4.0</v>
      </c>
      <c r="ET16" s="16">
        <v>91.0</v>
      </c>
      <c r="EU16" s="17">
        <f t="shared" si="36"/>
        <v>0.04395604396</v>
      </c>
      <c r="EV16" s="16"/>
      <c r="EW16" s="16">
        <v>54.0</v>
      </c>
      <c r="EX16" s="17"/>
      <c r="EY16" s="16">
        <v>500.0</v>
      </c>
      <c r="EZ16" s="16">
        <v>789.0</v>
      </c>
      <c r="FA16" s="17">
        <f t="shared" si="37"/>
        <v>0.6337135615</v>
      </c>
      <c r="FB16" s="16">
        <v>128.0</v>
      </c>
      <c r="FC16" s="16">
        <v>1871.0</v>
      </c>
      <c r="FD16" s="17">
        <f t="shared" si="38"/>
        <v>0.06983087834</v>
      </c>
      <c r="FE16" s="8">
        <v>6.0</v>
      </c>
      <c r="FF16" s="16">
        <v>148.0</v>
      </c>
      <c r="FG16" s="17">
        <f t="shared" si="39"/>
        <v>0.04054054054</v>
      </c>
      <c r="FH16" s="16">
        <v>12.0</v>
      </c>
      <c r="FI16" s="16">
        <v>90.0</v>
      </c>
      <c r="FJ16" s="17">
        <f t="shared" si="40"/>
        <v>0.1333333333</v>
      </c>
      <c r="FK16" s="16">
        <v>0.0</v>
      </c>
      <c r="FL16" s="16">
        <v>56.0</v>
      </c>
      <c r="FM16" s="17">
        <f t="shared" si="41"/>
        <v>0</v>
      </c>
      <c r="FN16" s="16">
        <v>8.0</v>
      </c>
      <c r="FO16" s="16">
        <v>88.0</v>
      </c>
      <c r="FP16" s="17">
        <f t="shared" si="42"/>
        <v>0.09090909091</v>
      </c>
      <c r="FQ16" s="16">
        <v>11.0</v>
      </c>
      <c r="FR16" s="16">
        <v>64.0</v>
      </c>
      <c r="FS16" s="17">
        <f t="shared" si="43"/>
        <v>0.171875</v>
      </c>
      <c r="FT16" s="16">
        <v>9.0</v>
      </c>
      <c r="FU16" s="16"/>
      <c r="FV16" s="16"/>
      <c r="FW16" s="16">
        <v>6.0</v>
      </c>
      <c r="FX16" s="16">
        <v>53.0</v>
      </c>
      <c r="FY16" s="17">
        <f t="shared" si="44"/>
        <v>0.1132075472</v>
      </c>
      <c r="FZ16" s="16">
        <v>10.0</v>
      </c>
      <c r="GA16" s="16"/>
      <c r="GB16" s="16"/>
      <c r="GC16" s="16">
        <v>0.0</v>
      </c>
      <c r="GD16" s="16">
        <v>89.0</v>
      </c>
      <c r="GE16" s="17">
        <f t="shared" si="45"/>
        <v>0</v>
      </c>
      <c r="GF16" s="16">
        <v>9.0</v>
      </c>
      <c r="GG16" s="16">
        <v>236.0</v>
      </c>
      <c r="GH16" s="17">
        <f t="shared" si="46"/>
        <v>0.03813559322</v>
      </c>
      <c r="GI16" s="16">
        <v>28.0</v>
      </c>
      <c r="GJ16" s="16">
        <v>520.0</v>
      </c>
      <c r="GK16" s="17">
        <f t="shared" si="47"/>
        <v>0.05384615385</v>
      </c>
      <c r="GL16" s="16">
        <v>0.0</v>
      </c>
      <c r="GM16" s="16">
        <v>2.0</v>
      </c>
      <c r="GN16" s="17">
        <f t="shared" ref="GN16:GN47" si="63">GL16/GM16</f>
        <v>0</v>
      </c>
      <c r="GO16" s="16">
        <v>3.0</v>
      </c>
      <c r="GP16" s="16">
        <v>29.0</v>
      </c>
      <c r="GQ16" s="17">
        <f t="shared" si="49"/>
        <v>0.1034482759</v>
      </c>
      <c r="GR16" s="16">
        <v>8.0</v>
      </c>
      <c r="GS16" s="16">
        <v>38.0</v>
      </c>
      <c r="GT16" s="17">
        <f t="shared" si="50"/>
        <v>0.2105263158</v>
      </c>
      <c r="GU16" s="8">
        <v>0.0</v>
      </c>
      <c r="GV16" s="16">
        <v>23.0</v>
      </c>
      <c r="GW16" s="17">
        <f t="shared" si="51"/>
        <v>0</v>
      </c>
      <c r="GX16" s="16">
        <v>39.0</v>
      </c>
      <c r="GY16" s="16">
        <v>711.0</v>
      </c>
      <c r="GZ16" s="16"/>
      <c r="HA16" s="16">
        <v>11.0</v>
      </c>
      <c r="HB16" s="16">
        <v>191.0</v>
      </c>
      <c r="HC16" s="17">
        <f t="shared" si="52"/>
        <v>0.05759162304</v>
      </c>
      <c r="HD16" s="16"/>
      <c r="HE16" s="16"/>
      <c r="HF16" s="16"/>
    </row>
    <row r="17" ht="15.75" customHeight="1">
      <c r="A17" s="1">
        <f t="shared" si="58"/>
        <v>44228</v>
      </c>
      <c r="B17" s="8">
        <v>158.0</v>
      </c>
      <c r="C17" s="8">
        <v>927.0</v>
      </c>
      <c r="D17" s="9">
        <f t="shared" si="1"/>
        <v>0.1704422869</v>
      </c>
      <c r="E17" s="8">
        <v>5.0</v>
      </c>
      <c r="F17" s="8">
        <v>90.0</v>
      </c>
      <c r="G17" s="9">
        <f t="shared" si="2"/>
        <v>0.05555555556</v>
      </c>
      <c r="H17" s="8">
        <v>8.0</v>
      </c>
      <c r="I17" s="8">
        <v>486.0</v>
      </c>
      <c r="J17" s="9">
        <f t="shared" si="3"/>
        <v>0.01646090535</v>
      </c>
      <c r="K17" s="8">
        <v>16.0</v>
      </c>
      <c r="L17" s="8">
        <v>281.0</v>
      </c>
      <c r="M17" s="9">
        <f t="shared" si="61"/>
        <v>0.05693950178</v>
      </c>
      <c r="N17" s="8">
        <v>40.0</v>
      </c>
      <c r="O17" s="8">
        <v>630.0</v>
      </c>
      <c r="P17" s="9">
        <f t="shared" si="4"/>
        <v>0.06349206349</v>
      </c>
      <c r="Q17" s="8">
        <v>2.0</v>
      </c>
      <c r="T17" s="8">
        <v>15.0</v>
      </c>
      <c r="U17" s="8">
        <v>348.0</v>
      </c>
      <c r="V17" s="9">
        <f t="shared" si="53"/>
        <v>0.04310344828</v>
      </c>
      <c r="W17" s="8">
        <v>16.0</v>
      </c>
      <c r="X17" s="8">
        <v>483.0</v>
      </c>
      <c r="Y17" s="9">
        <f t="shared" si="5"/>
        <v>0.033126294</v>
      </c>
      <c r="Z17" s="8">
        <v>4.0</v>
      </c>
      <c r="AA17" s="8">
        <v>234.0</v>
      </c>
      <c r="AB17" s="9">
        <f t="shared" si="54"/>
        <v>0.01709401709</v>
      </c>
      <c r="AC17" s="8">
        <v>33.0</v>
      </c>
      <c r="AD17" s="8">
        <v>767.0</v>
      </c>
      <c r="AE17" s="9">
        <f t="shared" si="55"/>
        <v>0.04302477184</v>
      </c>
      <c r="AF17" s="8">
        <v>14.0</v>
      </c>
      <c r="AG17" s="8">
        <v>314.0</v>
      </c>
      <c r="AH17" s="9">
        <f t="shared" si="6"/>
        <v>0.04458598726</v>
      </c>
      <c r="AI17" s="10">
        <v>8.0</v>
      </c>
      <c r="AJ17" s="8">
        <v>369.0</v>
      </c>
      <c r="AK17" s="9">
        <f t="shared" si="7"/>
        <v>0.0216802168</v>
      </c>
      <c r="AL17" s="16">
        <v>21.0</v>
      </c>
      <c r="AM17" s="16">
        <v>305.0</v>
      </c>
      <c r="AN17" s="17">
        <f t="shared" si="8"/>
        <v>0.06885245902</v>
      </c>
      <c r="AO17" s="18">
        <v>5.0</v>
      </c>
      <c r="AP17" s="18">
        <v>89.0</v>
      </c>
      <c r="AQ17" s="17">
        <f t="shared" si="9"/>
        <v>0.05617977528</v>
      </c>
      <c r="AR17" s="17"/>
      <c r="AS17" s="16">
        <v>65.0</v>
      </c>
      <c r="AT17" s="17"/>
      <c r="AU17" s="16">
        <v>22.0</v>
      </c>
      <c r="AV17" s="16">
        <v>393.0</v>
      </c>
      <c r="AW17" s="16"/>
      <c r="AX17" s="8">
        <v>6.0</v>
      </c>
      <c r="AY17" s="21" t="s">
        <v>92</v>
      </c>
      <c r="AZ17" s="17">
        <f t="shared" si="10"/>
        <v>0.08219178082</v>
      </c>
      <c r="BA17" s="16">
        <v>7.0</v>
      </c>
      <c r="BB17" s="16">
        <v>80.0</v>
      </c>
      <c r="BC17" s="17">
        <f t="shared" si="11"/>
        <v>0.0875</v>
      </c>
      <c r="BD17" s="16"/>
      <c r="BE17" s="16">
        <v>7.0</v>
      </c>
      <c r="BF17" s="16"/>
      <c r="BG17" s="16"/>
      <c r="BH17" s="18">
        <v>46.0</v>
      </c>
      <c r="BI17" s="16"/>
      <c r="BJ17" s="18">
        <v>9.0</v>
      </c>
      <c r="BK17" s="18">
        <v>246.0</v>
      </c>
      <c r="BL17" s="17">
        <f t="shared" si="12"/>
        <v>0.03658536585</v>
      </c>
      <c r="BM17" s="19">
        <v>3.0</v>
      </c>
      <c r="BN17" s="19">
        <v>37.0</v>
      </c>
      <c r="BO17" s="17">
        <f t="shared" si="13"/>
        <v>0.08108108108</v>
      </c>
      <c r="BP17" s="16">
        <v>2.0</v>
      </c>
      <c r="BQ17" s="16">
        <v>84.0</v>
      </c>
      <c r="BR17" s="17">
        <f t="shared" si="14"/>
        <v>0.02380952381</v>
      </c>
      <c r="BS17" s="16">
        <v>13.0</v>
      </c>
      <c r="BT17" s="16">
        <v>205.0</v>
      </c>
      <c r="BU17" s="17">
        <f t="shared" si="15"/>
        <v>0.06341463415</v>
      </c>
      <c r="BV17" s="18">
        <v>5.0</v>
      </c>
      <c r="BW17" s="18">
        <v>86.0</v>
      </c>
      <c r="BX17" s="17">
        <f t="shared" si="16"/>
        <v>0.05813953488</v>
      </c>
      <c r="BY17" s="16">
        <v>2.0</v>
      </c>
      <c r="BZ17" s="16">
        <v>89.0</v>
      </c>
      <c r="CA17" s="13">
        <f t="shared" si="59"/>
        <v>0.02247191011</v>
      </c>
      <c r="CB17" s="18">
        <v>0.0</v>
      </c>
      <c r="CC17" s="16">
        <v>44.0</v>
      </c>
      <c r="CD17" s="17">
        <f t="shared" si="17"/>
        <v>0</v>
      </c>
      <c r="CE17" s="16">
        <v>12.0</v>
      </c>
      <c r="CF17" s="8">
        <v>303.0</v>
      </c>
      <c r="CG17" s="17">
        <f t="shared" si="18"/>
        <v>0.0396039604</v>
      </c>
      <c r="CH17" s="16">
        <v>0.0</v>
      </c>
      <c r="CI17" s="16">
        <v>3.0</v>
      </c>
      <c r="CJ17" s="17">
        <f t="shared" si="19"/>
        <v>0</v>
      </c>
      <c r="CK17" s="16">
        <v>3.0</v>
      </c>
      <c r="CL17" s="16">
        <v>83.0</v>
      </c>
      <c r="CM17" s="17">
        <f t="shared" si="20"/>
        <v>0.03614457831</v>
      </c>
      <c r="CN17" s="16">
        <v>0.0</v>
      </c>
      <c r="CO17" s="16">
        <v>67.0</v>
      </c>
      <c r="CP17" s="17">
        <f t="shared" si="21"/>
        <v>0</v>
      </c>
      <c r="CQ17" s="16">
        <v>14.0</v>
      </c>
      <c r="CR17" s="16">
        <v>570.0</v>
      </c>
      <c r="CS17" s="17">
        <f t="shared" si="22"/>
        <v>0.02456140351</v>
      </c>
      <c r="CT17" s="16">
        <v>1.0</v>
      </c>
      <c r="CU17" s="16">
        <v>87.0</v>
      </c>
      <c r="CV17" s="17">
        <f t="shared" si="23"/>
        <v>0.01149425287</v>
      </c>
      <c r="CW17" s="16">
        <v>0.0</v>
      </c>
      <c r="CX17" s="16">
        <v>44.0</v>
      </c>
      <c r="CY17" s="17">
        <f t="shared" si="24"/>
        <v>0</v>
      </c>
      <c r="CZ17" s="16">
        <v>19.0</v>
      </c>
      <c r="DA17" s="16">
        <v>127.0</v>
      </c>
      <c r="DB17" s="17">
        <f t="shared" si="56"/>
        <v>0.1496062992</v>
      </c>
      <c r="DC17" s="16">
        <v>6.0</v>
      </c>
      <c r="DD17" s="16">
        <v>61.0</v>
      </c>
      <c r="DE17" s="17">
        <f t="shared" si="25"/>
        <v>0.09836065574</v>
      </c>
      <c r="DF17" s="16">
        <v>1.0</v>
      </c>
      <c r="DG17" s="16">
        <v>67.0</v>
      </c>
      <c r="DH17" s="17">
        <f t="shared" si="62"/>
        <v>0.01492537313</v>
      </c>
      <c r="DI17" s="16">
        <v>5.0</v>
      </c>
      <c r="DJ17" s="16">
        <v>209.0</v>
      </c>
      <c r="DK17" s="17">
        <f t="shared" si="26"/>
        <v>0.02392344498</v>
      </c>
      <c r="DL17" s="16">
        <v>4.0</v>
      </c>
      <c r="DM17" s="16">
        <v>36.0</v>
      </c>
      <c r="DN17" s="17">
        <f t="shared" si="27"/>
        <v>0.1111111111</v>
      </c>
      <c r="DO17" s="16">
        <v>5.0</v>
      </c>
      <c r="DP17" s="16">
        <v>82.0</v>
      </c>
      <c r="DQ17" s="17">
        <f t="shared" si="28"/>
        <v>0.06097560976</v>
      </c>
      <c r="DR17" s="16">
        <v>12.0</v>
      </c>
      <c r="DS17" s="16">
        <v>67.0</v>
      </c>
      <c r="DT17" s="17">
        <f t="shared" si="29"/>
        <v>0.1791044776</v>
      </c>
      <c r="DU17" s="16">
        <v>11.0</v>
      </c>
      <c r="DV17" s="16">
        <v>206.0</v>
      </c>
      <c r="DW17" s="17">
        <f t="shared" si="57"/>
        <v>0.05339805825</v>
      </c>
      <c r="DX17" s="16">
        <v>1.0</v>
      </c>
      <c r="DY17" s="16">
        <v>21.0</v>
      </c>
      <c r="DZ17" s="17">
        <f t="shared" si="30"/>
        <v>0.04761904762</v>
      </c>
      <c r="EA17" s="22">
        <v>17.0</v>
      </c>
      <c r="EB17" s="16">
        <v>278.0</v>
      </c>
      <c r="EC17" s="17">
        <f t="shared" si="31"/>
        <v>0.06115107914</v>
      </c>
      <c r="ED17" s="16">
        <v>2.0</v>
      </c>
      <c r="EE17" s="16">
        <v>34.0</v>
      </c>
      <c r="EF17" s="17">
        <f t="shared" si="32"/>
        <v>0.05882352941</v>
      </c>
      <c r="EG17" s="16">
        <v>3.0</v>
      </c>
      <c r="EH17" s="16">
        <v>88.0</v>
      </c>
      <c r="EI17" s="17">
        <f t="shared" si="33"/>
        <v>0.03409090909</v>
      </c>
      <c r="EJ17" s="16">
        <v>9.0</v>
      </c>
      <c r="EK17" s="16">
        <v>578.0</v>
      </c>
      <c r="EL17" s="17">
        <f t="shared" si="34"/>
        <v>0.01557093426</v>
      </c>
      <c r="EM17" s="16">
        <v>3.0</v>
      </c>
      <c r="EN17" s="16">
        <v>12.0</v>
      </c>
      <c r="EO17" s="17">
        <f t="shared" si="35"/>
        <v>0.25</v>
      </c>
      <c r="EP17" s="16">
        <v>6.0</v>
      </c>
      <c r="EQ17" s="16">
        <v>108.0</v>
      </c>
      <c r="ER17" s="17">
        <f t="shared" si="60"/>
        <v>0.05555555556</v>
      </c>
      <c r="ES17" s="16">
        <v>2.0</v>
      </c>
      <c r="ET17" s="16">
        <v>88.0</v>
      </c>
      <c r="EU17" s="17">
        <f t="shared" si="36"/>
        <v>0.02272727273</v>
      </c>
      <c r="EV17" s="16"/>
      <c r="EW17" s="16">
        <v>64.0</v>
      </c>
      <c r="EX17" s="17"/>
      <c r="EY17" s="16">
        <v>344.0</v>
      </c>
      <c r="EZ17" s="16">
        <v>626.0</v>
      </c>
      <c r="FA17" s="17">
        <f t="shared" si="37"/>
        <v>0.5495207668</v>
      </c>
      <c r="FB17" s="16">
        <v>140.0</v>
      </c>
      <c r="FC17" s="16">
        <v>1833.0</v>
      </c>
      <c r="FD17" s="17">
        <f t="shared" si="38"/>
        <v>0.0773480663</v>
      </c>
      <c r="FE17" s="8">
        <v>6.0</v>
      </c>
      <c r="FF17" s="16">
        <v>110.0</v>
      </c>
      <c r="FG17" s="17">
        <f t="shared" si="39"/>
        <v>0.05454545455</v>
      </c>
      <c r="FH17" s="16">
        <v>6.0</v>
      </c>
      <c r="FI17" s="16">
        <v>79.0</v>
      </c>
      <c r="FJ17" s="17">
        <f t="shared" si="40"/>
        <v>0.07594936709</v>
      </c>
      <c r="FK17" s="16">
        <v>2.0</v>
      </c>
      <c r="FL17" s="16">
        <v>59.0</v>
      </c>
      <c r="FM17" s="17">
        <f t="shared" si="41"/>
        <v>0.03389830508</v>
      </c>
      <c r="FN17" s="16">
        <v>12.0</v>
      </c>
      <c r="FO17" s="16">
        <v>93.0</v>
      </c>
      <c r="FP17" s="17">
        <f t="shared" si="42"/>
        <v>0.1290322581</v>
      </c>
      <c r="FQ17" s="16">
        <v>2.0</v>
      </c>
      <c r="FR17" s="16">
        <v>56.0</v>
      </c>
      <c r="FS17" s="17">
        <f t="shared" si="43"/>
        <v>0.03571428571</v>
      </c>
      <c r="FT17" s="16">
        <v>4.0</v>
      </c>
      <c r="FU17" s="16"/>
      <c r="FV17" s="16"/>
      <c r="FW17" s="16">
        <v>2.0</v>
      </c>
      <c r="FX17" s="16">
        <v>24.0</v>
      </c>
      <c r="FY17" s="17">
        <f t="shared" si="44"/>
        <v>0.08333333333</v>
      </c>
      <c r="FZ17" s="16">
        <v>3.0</v>
      </c>
      <c r="GA17" s="16"/>
      <c r="GB17" s="16"/>
      <c r="GC17" s="16">
        <v>0.0</v>
      </c>
      <c r="GD17" s="16">
        <v>73.0</v>
      </c>
      <c r="GE17" s="17">
        <f t="shared" si="45"/>
        <v>0</v>
      </c>
      <c r="GF17" s="16">
        <v>6.0</v>
      </c>
      <c r="GG17" s="16">
        <v>171.0</v>
      </c>
      <c r="GH17" s="17">
        <f t="shared" si="46"/>
        <v>0.0350877193</v>
      </c>
      <c r="GI17" s="16">
        <v>36.0</v>
      </c>
      <c r="GJ17" s="16">
        <v>496.0</v>
      </c>
      <c r="GK17" s="17">
        <f t="shared" si="47"/>
        <v>0.07258064516</v>
      </c>
      <c r="GL17" s="16">
        <v>1.0</v>
      </c>
      <c r="GM17" s="16">
        <v>8.0</v>
      </c>
      <c r="GN17" s="17">
        <f t="shared" si="63"/>
        <v>0.125</v>
      </c>
      <c r="GO17" s="16">
        <v>4.0</v>
      </c>
      <c r="GP17" s="16">
        <v>20.0</v>
      </c>
      <c r="GQ17" s="17">
        <f t="shared" si="49"/>
        <v>0.2</v>
      </c>
      <c r="GR17" s="16">
        <v>7.0</v>
      </c>
      <c r="GS17" s="16">
        <v>33.0</v>
      </c>
      <c r="GT17" s="17">
        <f t="shared" si="50"/>
        <v>0.2121212121</v>
      </c>
      <c r="GU17" s="8">
        <v>2.0</v>
      </c>
      <c r="GV17" s="16">
        <v>22.0</v>
      </c>
      <c r="GW17" s="17">
        <f t="shared" si="51"/>
        <v>0.09090909091</v>
      </c>
      <c r="GX17" s="16">
        <v>23.0</v>
      </c>
      <c r="GY17" s="16">
        <v>575.0</v>
      </c>
      <c r="GZ17" s="16"/>
      <c r="HA17" s="16">
        <v>11.0</v>
      </c>
      <c r="HB17" s="16">
        <v>172.0</v>
      </c>
      <c r="HC17" s="17">
        <f t="shared" si="52"/>
        <v>0.06395348837</v>
      </c>
      <c r="HD17" s="16"/>
      <c r="HE17" s="16"/>
      <c r="HF17" s="16"/>
    </row>
    <row r="18" ht="15.75" customHeight="1">
      <c r="A18" s="1">
        <f t="shared" si="58"/>
        <v>44256</v>
      </c>
      <c r="B18" s="8">
        <v>166.0</v>
      </c>
      <c r="C18" s="8">
        <v>948.0</v>
      </c>
      <c r="D18" s="9">
        <f t="shared" si="1"/>
        <v>0.1751054852</v>
      </c>
      <c r="E18" s="8">
        <v>9.0</v>
      </c>
      <c r="F18" s="8">
        <v>81.0</v>
      </c>
      <c r="G18" s="9">
        <f t="shared" si="2"/>
        <v>0.1111111111</v>
      </c>
      <c r="H18" s="8">
        <v>21.0</v>
      </c>
      <c r="I18" s="8">
        <v>616.0</v>
      </c>
      <c r="J18" s="9">
        <f t="shared" si="3"/>
        <v>0.03409090909</v>
      </c>
      <c r="K18" s="8">
        <v>24.0</v>
      </c>
      <c r="L18" s="8">
        <v>220.0</v>
      </c>
      <c r="M18" s="9">
        <f t="shared" si="61"/>
        <v>0.1090909091</v>
      </c>
      <c r="N18" s="8">
        <v>54.0</v>
      </c>
      <c r="O18" s="8">
        <v>788.0</v>
      </c>
      <c r="P18" s="9">
        <f t="shared" si="4"/>
        <v>0.06852791878</v>
      </c>
      <c r="Q18" s="8">
        <v>5.0</v>
      </c>
      <c r="T18" s="8">
        <v>19.0</v>
      </c>
      <c r="U18" s="8">
        <v>335.0</v>
      </c>
      <c r="V18" s="9">
        <f t="shared" si="53"/>
        <v>0.05671641791</v>
      </c>
      <c r="W18" s="8">
        <v>8.0</v>
      </c>
      <c r="X18" s="8">
        <v>479.0</v>
      </c>
      <c r="Y18" s="9">
        <f t="shared" si="5"/>
        <v>0.01670146138</v>
      </c>
      <c r="Z18" s="8">
        <v>5.0</v>
      </c>
      <c r="AA18" s="8">
        <v>241.0</v>
      </c>
      <c r="AB18" s="9">
        <f t="shared" si="54"/>
        <v>0.02074688797</v>
      </c>
      <c r="AC18" s="8">
        <v>41.0</v>
      </c>
      <c r="AD18" s="8">
        <v>823.0</v>
      </c>
      <c r="AE18" s="9">
        <f t="shared" si="55"/>
        <v>0.04981773998</v>
      </c>
      <c r="AF18" s="8">
        <v>11.0</v>
      </c>
      <c r="AG18" s="8">
        <v>337.0</v>
      </c>
      <c r="AH18" s="9">
        <f t="shared" si="6"/>
        <v>0.03264094955</v>
      </c>
      <c r="AI18" s="10">
        <v>5.0</v>
      </c>
      <c r="AJ18" s="8">
        <v>399.0</v>
      </c>
      <c r="AK18" s="9">
        <f t="shared" si="7"/>
        <v>0.01253132832</v>
      </c>
      <c r="AL18" s="16">
        <v>12.0</v>
      </c>
      <c r="AM18" s="16">
        <v>263.0</v>
      </c>
      <c r="AN18" s="17">
        <f t="shared" si="8"/>
        <v>0.04562737643</v>
      </c>
      <c r="AO18" s="18">
        <v>8.0</v>
      </c>
      <c r="AP18" s="18">
        <v>114.0</v>
      </c>
      <c r="AQ18" s="17">
        <f t="shared" si="9"/>
        <v>0.0701754386</v>
      </c>
      <c r="AR18" s="17"/>
      <c r="AS18" s="16">
        <v>87.0</v>
      </c>
      <c r="AT18" s="17"/>
      <c r="AU18" s="16">
        <v>27.0</v>
      </c>
      <c r="AV18" s="16">
        <v>434.0</v>
      </c>
      <c r="AW18" s="16"/>
      <c r="AX18" s="21" t="s">
        <v>87</v>
      </c>
      <c r="AY18" s="16">
        <v>56.0</v>
      </c>
      <c r="AZ18" s="17">
        <f t="shared" si="10"/>
        <v>0.08928571429</v>
      </c>
      <c r="BA18" s="16">
        <v>4.0</v>
      </c>
      <c r="BB18" s="16">
        <v>54.0</v>
      </c>
      <c r="BC18" s="17">
        <f t="shared" si="11"/>
        <v>0.07407407407</v>
      </c>
      <c r="BD18" s="16"/>
      <c r="BE18" s="16">
        <v>3.0</v>
      </c>
      <c r="BF18" s="16"/>
      <c r="BG18" s="16"/>
      <c r="BH18" s="18">
        <v>71.0</v>
      </c>
      <c r="BI18" s="16"/>
      <c r="BJ18" s="18">
        <v>11.0</v>
      </c>
      <c r="BK18" s="18">
        <v>224.0</v>
      </c>
      <c r="BL18" s="17">
        <f t="shared" si="12"/>
        <v>0.04910714286</v>
      </c>
      <c r="BM18" s="19">
        <v>0.0</v>
      </c>
      <c r="BN18" s="19">
        <v>31.0</v>
      </c>
      <c r="BO18" s="17">
        <f t="shared" si="13"/>
        <v>0</v>
      </c>
      <c r="BP18" s="16">
        <v>3.0</v>
      </c>
      <c r="BQ18" s="16">
        <v>78.0</v>
      </c>
      <c r="BR18" s="17">
        <f t="shared" si="14"/>
        <v>0.03846153846</v>
      </c>
      <c r="BS18" s="16">
        <v>11.0</v>
      </c>
      <c r="BT18" s="16">
        <v>181.0</v>
      </c>
      <c r="BU18" s="17">
        <f t="shared" si="15"/>
        <v>0.06077348066</v>
      </c>
      <c r="BV18" s="18">
        <v>5.0</v>
      </c>
      <c r="BW18" s="18">
        <v>103.0</v>
      </c>
      <c r="BX18" s="17">
        <f t="shared" si="16"/>
        <v>0.04854368932</v>
      </c>
      <c r="BY18" s="16">
        <v>5.0</v>
      </c>
      <c r="BZ18" s="16">
        <v>104.0</v>
      </c>
      <c r="CA18" s="13">
        <f t="shared" si="59"/>
        <v>0.04807692308</v>
      </c>
      <c r="CB18" s="18">
        <v>0.0</v>
      </c>
      <c r="CC18" s="16">
        <v>25.0</v>
      </c>
      <c r="CD18" s="17">
        <f t="shared" si="17"/>
        <v>0</v>
      </c>
      <c r="CE18" s="16">
        <v>13.0</v>
      </c>
      <c r="CF18" s="8">
        <v>319.0</v>
      </c>
      <c r="CG18" s="17">
        <f t="shared" si="18"/>
        <v>0.0407523511</v>
      </c>
      <c r="CH18" s="16">
        <v>2.0</v>
      </c>
      <c r="CI18" s="16">
        <v>12.0</v>
      </c>
      <c r="CJ18" s="17">
        <f t="shared" si="19"/>
        <v>0.1666666667</v>
      </c>
      <c r="CK18" s="16">
        <v>4.0</v>
      </c>
      <c r="CL18" s="16">
        <v>114.0</v>
      </c>
      <c r="CM18" s="17">
        <f t="shared" si="20"/>
        <v>0.0350877193</v>
      </c>
      <c r="CN18" s="16">
        <v>4.0</v>
      </c>
      <c r="CO18" s="16">
        <v>67.0</v>
      </c>
      <c r="CP18" s="17">
        <f t="shared" si="21"/>
        <v>0.05970149254</v>
      </c>
      <c r="CQ18" s="16">
        <v>6.0</v>
      </c>
      <c r="CR18" s="16">
        <v>553.0</v>
      </c>
      <c r="CS18" s="17">
        <f t="shared" si="22"/>
        <v>0.01084990958</v>
      </c>
      <c r="CT18" s="16">
        <v>4.0</v>
      </c>
      <c r="CU18" s="16">
        <v>106.0</v>
      </c>
      <c r="CV18" s="17">
        <f t="shared" si="23"/>
        <v>0.03773584906</v>
      </c>
      <c r="CW18" s="16">
        <v>0.0</v>
      </c>
      <c r="CX18" s="16">
        <v>25.0</v>
      </c>
      <c r="CY18" s="17">
        <f t="shared" si="24"/>
        <v>0</v>
      </c>
      <c r="CZ18" s="16">
        <v>15.0</v>
      </c>
      <c r="DA18" s="16">
        <v>166.0</v>
      </c>
      <c r="DB18" s="17">
        <f t="shared" si="56"/>
        <v>0.09036144578</v>
      </c>
      <c r="DC18" s="16">
        <v>1.0</v>
      </c>
      <c r="DD18" s="16">
        <v>71.0</v>
      </c>
      <c r="DE18" s="17">
        <f t="shared" si="25"/>
        <v>0.01408450704</v>
      </c>
      <c r="DF18" s="16">
        <v>2.0</v>
      </c>
      <c r="DG18" s="16">
        <v>65.0</v>
      </c>
      <c r="DH18" s="17">
        <f t="shared" si="62"/>
        <v>0.03076923077</v>
      </c>
      <c r="DI18" s="16">
        <v>1.0</v>
      </c>
      <c r="DJ18" s="16">
        <v>194.0</v>
      </c>
      <c r="DK18" s="17">
        <f t="shared" si="26"/>
        <v>0.005154639175</v>
      </c>
      <c r="DL18" s="16">
        <v>1.0</v>
      </c>
      <c r="DM18" s="16">
        <v>24.0</v>
      </c>
      <c r="DN18" s="17">
        <f t="shared" si="27"/>
        <v>0.04166666667</v>
      </c>
      <c r="DO18" s="16">
        <v>2.0</v>
      </c>
      <c r="DP18" s="16">
        <v>70.0</v>
      </c>
      <c r="DQ18" s="17">
        <f t="shared" si="28"/>
        <v>0.02857142857</v>
      </c>
      <c r="DR18" s="16">
        <v>5.0</v>
      </c>
      <c r="DS18" s="16">
        <v>96.0</v>
      </c>
      <c r="DT18" s="17">
        <f t="shared" si="29"/>
        <v>0.05208333333</v>
      </c>
      <c r="DU18" s="16">
        <v>9.0</v>
      </c>
      <c r="DV18" s="16">
        <v>206.0</v>
      </c>
      <c r="DW18" s="17">
        <f t="shared" si="57"/>
        <v>0.04368932039</v>
      </c>
      <c r="DX18" s="16">
        <v>0.0</v>
      </c>
      <c r="DY18" s="16">
        <v>17.0</v>
      </c>
      <c r="DZ18" s="17">
        <f t="shared" si="30"/>
        <v>0</v>
      </c>
      <c r="EA18" s="22">
        <v>23.0</v>
      </c>
      <c r="EB18" s="16">
        <v>354.0</v>
      </c>
      <c r="EC18" s="17">
        <f t="shared" si="31"/>
        <v>0.06497175141</v>
      </c>
      <c r="ED18" s="16">
        <v>2.0</v>
      </c>
      <c r="EE18" s="16">
        <v>26.0</v>
      </c>
      <c r="EF18" s="17">
        <f t="shared" si="32"/>
        <v>0.07692307692</v>
      </c>
      <c r="EG18" s="16">
        <v>2.0</v>
      </c>
      <c r="EH18" s="16">
        <v>99.0</v>
      </c>
      <c r="EI18" s="17">
        <f t="shared" si="33"/>
        <v>0.0202020202</v>
      </c>
      <c r="EJ18" s="16">
        <v>6.0</v>
      </c>
      <c r="EK18" s="16">
        <v>523.0</v>
      </c>
      <c r="EL18" s="17">
        <f t="shared" si="34"/>
        <v>0.01147227533</v>
      </c>
      <c r="EM18" s="16">
        <v>3.0</v>
      </c>
      <c r="EN18" s="16">
        <v>11.0</v>
      </c>
      <c r="EO18" s="17">
        <f t="shared" si="35"/>
        <v>0.2727272727</v>
      </c>
      <c r="EP18" s="16">
        <v>2.0</v>
      </c>
      <c r="EQ18" s="16">
        <v>131.0</v>
      </c>
      <c r="ER18" s="17">
        <f t="shared" si="60"/>
        <v>0.01526717557</v>
      </c>
      <c r="ES18" s="16">
        <v>3.0</v>
      </c>
      <c r="ET18" s="16">
        <v>69.0</v>
      </c>
      <c r="EU18" s="17">
        <f t="shared" si="36"/>
        <v>0.04347826087</v>
      </c>
      <c r="EV18" s="16"/>
      <c r="EW18" s="16">
        <v>55.0</v>
      </c>
      <c r="EX18" s="17"/>
      <c r="EY18" s="16">
        <v>482.0</v>
      </c>
      <c r="EZ18" s="16">
        <v>718.0</v>
      </c>
      <c r="FA18" s="17">
        <f t="shared" si="37"/>
        <v>0.6713091922</v>
      </c>
      <c r="FB18" s="16">
        <v>165.0</v>
      </c>
      <c r="FC18" s="16">
        <v>1810.0</v>
      </c>
      <c r="FD18" s="17">
        <f t="shared" si="38"/>
        <v>0.09131156613</v>
      </c>
      <c r="FE18" s="8">
        <v>5.0</v>
      </c>
      <c r="FF18" s="16">
        <v>132.0</v>
      </c>
      <c r="FG18" s="17">
        <f t="shared" si="39"/>
        <v>0.03787878788</v>
      </c>
      <c r="FH18" s="16">
        <v>9.0</v>
      </c>
      <c r="FI18" s="16">
        <v>85.0</v>
      </c>
      <c r="FJ18" s="17">
        <f t="shared" si="40"/>
        <v>0.1058823529</v>
      </c>
      <c r="FK18" s="16">
        <v>0.0</v>
      </c>
      <c r="FL18" s="16">
        <v>68.0</v>
      </c>
      <c r="FM18" s="17">
        <f t="shared" si="41"/>
        <v>0</v>
      </c>
      <c r="FN18" s="16">
        <v>12.0</v>
      </c>
      <c r="FO18" s="16">
        <v>85.0</v>
      </c>
      <c r="FP18" s="17">
        <f t="shared" si="42"/>
        <v>0.1411764706</v>
      </c>
      <c r="FQ18" s="16">
        <v>2.0</v>
      </c>
      <c r="FR18" s="16">
        <v>40.0</v>
      </c>
      <c r="FS18" s="17">
        <f t="shared" si="43"/>
        <v>0.05</v>
      </c>
      <c r="FT18" s="16">
        <v>6.0</v>
      </c>
      <c r="FU18" s="16"/>
      <c r="FV18" s="16"/>
      <c r="FW18" s="16">
        <v>2.0</v>
      </c>
      <c r="FX18" s="16">
        <v>35.0</v>
      </c>
      <c r="FY18" s="17">
        <f t="shared" si="44"/>
        <v>0.05714285714</v>
      </c>
      <c r="FZ18" s="16">
        <v>2.0</v>
      </c>
      <c r="GA18" s="16"/>
      <c r="GB18" s="16"/>
      <c r="GC18" s="16">
        <v>0.0</v>
      </c>
      <c r="GD18" s="16">
        <v>62.0</v>
      </c>
      <c r="GE18" s="17">
        <f t="shared" si="45"/>
        <v>0</v>
      </c>
      <c r="GF18" s="16">
        <v>5.0</v>
      </c>
      <c r="GG18" s="16">
        <v>159.0</v>
      </c>
      <c r="GH18" s="17">
        <f t="shared" si="46"/>
        <v>0.03144654088</v>
      </c>
      <c r="GI18" s="16">
        <v>14.0</v>
      </c>
      <c r="GJ18" s="16">
        <v>320.0</v>
      </c>
      <c r="GK18" s="17">
        <f t="shared" si="47"/>
        <v>0.04375</v>
      </c>
      <c r="GL18" s="16">
        <v>0.0</v>
      </c>
      <c r="GM18" s="16">
        <v>12.0</v>
      </c>
      <c r="GN18" s="17">
        <f t="shared" si="63"/>
        <v>0</v>
      </c>
      <c r="GO18" s="16">
        <v>1.0</v>
      </c>
      <c r="GP18" s="16">
        <v>18.0</v>
      </c>
      <c r="GQ18" s="17">
        <f t="shared" si="49"/>
        <v>0.05555555556</v>
      </c>
      <c r="GR18" s="16">
        <v>6.0</v>
      </c>
      <c r="GS18" s="16">
        <v>46.0</v>
      </c>
      <c r="GT18" s="17">
        <f t="shared" si="50"/>
        <v>0.1304347826</v>
      </c>
      <c r="GU18" s="8">
        <v>1.0</v>
      </c>
      <c r="GV18" s="16">
        <v>24.0</v>
      </c>
      <c r="GW18" s="17">
        <f t="shared" si="51"/>
        <v>0.04166666667</v>
      </c>
      <c r="GX18" s="16">
        <v>23.0</v>
      </c>
      <c r="GY18" s="16">
        <v>579.0</v>
      </c>
      <c r="GZ18" s="16"/>
      <c r="HA18" s="16">
        <v>10.0</v>
      </c>
      <c r="HB18" s="16">
        <v>174.0</v>
      </c>
      <c r="HC18" s="17">
        <f t="shared" si="52"/>
        <v>0.05747126437</v>
      </c>
      <c r="HD18" s="16"/>
      <c r="HE18" s="16"/>
      <c r="HF18" s="16"/>
    </row>
    <row r="19" ht="15.75" customHeight="1">
      <c r="A19" s="1">
        <f t="shared" si="58"/>
        <v>44287</v>
      </c>
      <c r="B19" s="8">
        <v>215.0</v>
      </c>
      <c r="C19" s="8">
        <v>979.0</v>
      </c>
      <c r="D19" s="9">
        <f t="shared" si="1"/>
        <v>0.2196118488</v>
      </c>
      <c r="E19" s="8">
        <v>7.0</v>
      </c>
      <c r="F19" s="8">
        <v>87.0</v>
      </c>
      <c r="G19" s="9">
        <f t="shared" si="2"/>
        <v>0.08045977011</v>
      </c>
      <c r="H19" s="8">
        <v>11.0</v>
      </c>
      <c r="I19" s="8">
        <v>508.0</v>
      </c>
      <c r="J19" s="9">
        <f t="shared" si="3"/>
        <v>0.02165354331</v>
      </c>
      <c r="K19" s="8">
        <v>17.0</v>
      </c>
      <c r="L19" s="8">
        <v>206.0</v>
      </c>
      <c r="M19" s="9">
        <f t="shared" si="61"/>
        <v>0.08252427184</v>
      </c>
      <c r="N19" s="8">
        <v>50.0</v>
      </c>
      <c r="O19" s="8">
        <v>713.0</v>
      </c>
      <c r="P19" s="9">
        <f t="shared" si="4"/>
        <v>0.07012622721</v>
      </c>
      <c r="Q19" s="8">
        <v>5.0</v>
      </c>
      <c r="T19" s="8">
        <v>19.0</v>
      </c>
      <c r="U19" s="8">
        <v>298.0</v>
      </c>
      <c r="V19" s="9">
        <f t="shared" si="53"/>
        <v>0.06375838926</v>
      </c>
      <c r="W19" s="8">
        <v>20.0</v>
      </c>
      <c r="X19" s="8">
        <v>506.0</v>
      </c>
      <c r="Y19" s="9">
        <f t="shared" si="5"/>
        <v>0.0395256917</v>
      </c>
      <c r="Z19" s="8">
        <v>7.0</v>
      </c>
      <c r="AA19" s="8">
        <v>230.0</v>
      </c>
      <c r="AB19" s="9">
        <f t="shared" si="54"/>
        <v>0.03043478261</v>
      </c>
      <c r="AC19" s="8">
        <v>22.0</v>
      </c>
      <c r="AD19" s="8">
        <v>835.0</v>
      </c>
      <c r="AE19" s="9">
        <f t="shared" si="55"/>
        <v>0.02634730539</v>
      </c>
      <c r="AF19" s="8">
        <v>14.0</v>
      </c>
      <c r="AG19" s="8">
        <v>303.0</v>
      </c>
      <c r="AH19" s="9">
        <f t="shared" si="6"/>
        <v>0.04620462046</v>
      </c>
      <c r="AI19" s="10">
        <v>9.0</v>
      </c>
      <c r="AJ19" s="8">
        <v>316.0</v>
      </c>
      <c r="AK19" s="9">
        <f t="shared" si="7"/>
        <v>0.02848101266</v>
      </c>
      <c r="AL19" s="16">
        <v>11.0</v>
      </c>
      <c r="AM19" s="16">
        <v>258.0</v>
      </c>
      <c r="AN19" s="17">
        <f t="shared" si="8"/>
        <v>0.04263565891</v>
      </c>
      <c r="AO19" s="18">
        <v>3.0</v>
      </c>
      <c r="AP19" s="18">
        <v>88.0</v>
      </c>
      <c r="AQ19" s="17">
        <f t="shared" si="9"/>
        <v>0.03409090909</v>
      </c>
      <c r="AR19" s="17"/>
      <c r="AS19" s="16">
        <v>63.0</v>
      </c>
      <c r="AT19" s="17"/>
      <c r="AU19" s="16">
        <v>29.0</v>
      </c>
      <c r="AV19" s="16">
        <v>455.0</v>
      </c>
      <c r="AW19" s="16"/>
      <c r="AX19" s="16">
        <v>4.0</v>
      </c>
      <c r="AY19" s="16">
        <v>65.0</v>
      </c>
      <c r="AZ19" s="17">
        <f t="shared" si="10"/>
        <v>0.06153846154</v>
      </c>
      <c r="BA19" s="16">
        <v>2.0</v>
      </c>
      <c r="BB19" s="16">
        <v>47.0</v>
      </c>
      <c r="BC19" s="17">
        <f t="shared" si="11"/>
        <v>0.04255319149</v>
      </c>
      <c r="BD19" s="16"/>
      <c r="BE19" s="16">
        <v>6.0</v>
      </c>
      <c r="BF19" s="16"/>
      <c r="BG19" s="16"/>
      <c r="BH19" s="18">
        <v>47.0</v>
      </c>
      <c r="BI19" s="16"/>
      <c r="BJ19" s="18">
        <v>4.0</v>
      </c>
      <c r="BK19" s="18">
        <v>221.0</v>
      </c>
      <c r="BL19" s="17">
        <f t="shared" si="12"/>
        <v>0.01809954751</v>
      </c>
      <c r="BM19" s="19">
        <v>2.0</v>
      </c>
      <c r="BN19" s="19">
        <v>34.0</v>
      </c>
      <c r="BO19" s="17">
        <f t="shared" si="13"/>
        <v>0.05882352941</v>
      </c>
      <c r="BP19" s="16">
        <v>7.0</v>
      </c>
      <c r="BQ19" s="16">
        <v>76.0</v>
      </c>
      <c r="BR19" s="17">
        <f t="shared" si="14"/>
        <v>0.09210526316</v>
      </c>
      <c r="BS19" s="16">
        <v>7.0</v>
      </c>
      <c r="BT19" s="16">
        <v>185.0</v>
      </c>
      <c r="BU19" s="17">
        <f t="shared" si="15"/>
        <v>0.03783783784</v>
      </c>
      <c r="BV19" s="18">
        <v>5.0</v>
      </c>
      <c r="BW19" s="18">
        <v>100.0</v>
      </c>
      <c r="BX19" s="17">
        <f t="shared" si="16"/>
        <v>0.05</v>
      </c>
      <c r="BY19" s="16">
        <v>5.0</v>
      </c>
      <c r="BZ19" s="16">
        <v>108.0</v>
      </c>
      <c r="CA19" s="13">
        <f t="shared" si="59"/>
        <v>0.0462962963</v>
      </c>
      <c r="CB19" s="18">
        <v>2.0</v>
      </c>
      <c r="CC19" s="16">
        <v>36.0</v>
      </c>
      <c r="CD19" s="17">
        <f t="shared" si="17"/>
        <v>0.05555555556</v>
      </c>
      <c r="CE19" s="16">
        <v>5.0</v>
      </c>
      <c r="CF19" s="8">
        <v>304.0</v>
      </c>
      <c r="CG19" s="17">
        <f t="shared" si="18"/>
        <v>0.01644736842</v>
      </c>
      <c r="CH19" s="16">
        <v>0.0</v>
      </c>
      <c r="CI19" s="16">
        <v>18.0</v>
      </c>
      <c r="CJ19" s="17">
        <f t="shared" si="19"/>
        <v>0</v>
      </c>
      <c r="CK19" s="16">
        <v>6.0</v>
      </c>
      <c r="CL19" s="16">
        <v>82.0</v>
      </c>
      <c r="CM19" s="17">
        <f t="shared" si="20"/>
        <v>0.07317073171</v>
      </c>
      <c r="CN19" s="16">
        <v>0.0</v>
      </c>
      <c r="CO19" s="16">
        <v>83.0</v>
      </c>
      <c r="CP19" s="17">
        <f t="shared" si="21"/>
        <v>0</v>
      </c>
      <c r="CQ19" s="16">
        <v>9.0</v>
      </c>
      <c r="CR19" s="16">
        <v>452.0</v>
      </c>
      <c r="CS19" s="17">
        <f t="shared" si="22"/>
        <v>0.01991150442</v>
      </c>
      <c r="CT19" s="16">
        <v>3.0</v>
      </c>
      <c r="CU19" s="16">
        <v>95.0</v>
      </c>
      <c r="CV19" s="17">
        <f t="shared" si="23"/>
        <v>0.03157894737</v>
      </c>
      <c r="CW19" s="16">
        <v>2.0</v>
      </c>
      <c r="CX19" s="16">
        <v>36.0</v>
      </c>
      <c r="CY19" s="17">
        <f t="shared" si="24"/>
        <v>0.05555555556</v>
      </c>
      <c r="CZ19" s="16">
        <v>9.0</v>
      </c>
      <c r="DA19" s="16">
        <v>132.0</v>
      </c>
      <c r="DB19" s="17">
        <f t="shared" si="56"/>
        <v>0.06818181818</v>
      </c>
      <c r="DC19" s="16">
        <v>2.0</v>
      </c>
      <c r="DD19" s="16">
        <v>78.0</v>
      </c>
      <c r="DE19" s="17">
        <f t="shared" si="25"/>
        <v>0.02564102564</v>
      </c>
      <c r="DF19" s="16">
        <v>4.0</v>
      </c>
      <c r="DG19" s="16">
        <v>65.0</v>
      </c>
      <c r="DH19" s="17">
        <f t="shared" si="62"/>
        <v>0.06153846154</v>
      </c>
      <c r="DI19" s="16">
        <v>5.0</v>
      </c>
      <c r="DJ19" s="16">
        <v>161.0</v>
      </c>
      <c r="DK19" s="17">
        <f t="shared" si="26"/>
        <v>0.03105590062</v>
      </c>
      <c r="DL19" s="16">
        <v>0.0</v>
      </c>
      <c r="DM19" s="16">
        <v>26.0</v>
      </c>
      <c r="DN19" s="17">
        <f t="shared" si="27"/>
        <v>0</v>
      </c>
      <c r="DO19" s="16">
        <v>1.0</v>
      </c>
      <c r="DP19" s="16">
        <v>65.0</v>
      </c>
      <c r="DQ19" s="17">
        <f t="shared" si="28"/>
        <v>0.01538461538</v>
      </c>
      <c r="DR19" s="16">
        <v>10.0</v>
      </c>
      <c r="DS19" s="16">
        <v>74.0</v>
      </c>
      <c r="DT19" s="17">
        <f t="shared" si="29"/>
        <v>0.1351351351</v>
      </c>
      <c r="DU19" s="16">
        <v>11.0</v>
      </c>
      <c r="DV19" s="16">
        <v>234.0</v>
      </c>
      <c r="DW19" s="17">
        <f t="shared" si="57"/>
        <v>0.04700854701</v>
      </c>
      <c r="DX19" s="16">
        <v>0.0</v>
      </c>
      <c r="DY19" s="16">
        <v>15.0</v>
      </c>
      <c r="DZ19" s="17">
        <f t="shared" si="30"/>
        <v>0</v>
      </c>
      <c r="EA19" s="22">
        <v>17.0</v>
      </c>
      <c r="EB19" s="16">
        <v>287.0</v>
      </c>
      <c r="EC19" s="17">
        <f t="shared" si="31"/>
        <v>0.05923344948</v>
      </c>
      <c r="ED19" s="16">
        <v>4.0</v>
      </c>
      <c r="EE19" s="16">
        <v>29.0</v>
      </c>
      <c r="EF19" s="17">
        <f t="shared" si="32"/>
        <v>0.1379310345</v>
      </c>
      <c r="EG19" s="16">
        <v>1.0</v>
      </c>
      <c r="EH19" s="16">
        <v>70.0</v>
      </c>
      <c r="EI19" s="17">
        <f t="shared" si="33"/>
        <v>0.01428571429</v>
      </c>
      <c r="EJ19" s="16">
        <v>13.0</v>
      </c>
      <c r="EK19" s="16">
        <v>516.0</v>
      </c>
      <c r="EL19" s="17">
        <f t="shared" si="34"/>
        <v>0.02519379845</v>
      </c>
      <c r="EM19" s="16">
        <v>2.0</v>
      </c>
      <c r="EN19" s="16">
        <v>20.0</v>
      </c>
      <c r="EO19" s="17">
        <f t="shared" si="35"/>
        <v>0.1</v>
      </c>
      <c r="EP19" s="16">
        <v>1.0</v>
      </c>
      <c r="EQ19" s="16">
        <v>135.0</v>
      </c>
      <c r="ER19" s="17">
        <f t="shared" si="60"/>
        <v>0.007407407407</v>
      </c>
      <c r="ES19" s="16">
        <v>4.0</v>
      </c>
      <c r="ET19" s="16">
        <v>64.0</v>
      </c>
      <c r="EU19" s="17">
        <f t="shared" si="36"/>
        <v>0.0625</v>
      </c>
      <c r="EV19" s="16"/>
      <c r="EW19" s="16">
        <v>45.0</v>
      </c>
      <c r="EX19" s="17"/>
      <c r="EY19" s="16">
        <v>584.0</v>
      </c>
      <c r="EZ19" s="16">
        <v>809.0</v>
      </c>
      <c r="FA19" s="17">
        <f t="shared" si="37"/>
        <v>0.7218788628</v>
      </c>
      <c r="FB19" s="16">
        <v>250.0</v>
      </c>
      <c r="FC19" s="16">
        <v>1807.0</v>
      </c>
      <c r="FD19" s="17">
        <f t="shared" si="38"/>
        <v>0.1364628821</v>
      </c>
      <c r="FE19" s="8">
        <v>7.0</v>
      </c>
      <c r="FF19" s="16">
        <v>107.0</v>
      </c>
      <c r="FG19" s="17">
        <f t="shared" si="39"/>
        <v>0.06542056075</v>
      </c>
      <c r="FH19" s="16">
        <v>6.0</v>
      </c>
      <c r="FI19" s="16">
        <v>70.0</v>
      </c>
      <c r="FJ19" s="17">
        <f t="shared" si="40"/>
        <v>0.08571428571</v>
      </c>
      <c r="FK19" s="16">
        <v>1.0</v>
      </c>
      <c r="FL19" s="16">
        <v>55.0</v>
      </c>
      <c r="FM19" s="17">
        <f t="shared" si="41"/>
        <v>0.01818181818</v>
      </c>
      <c r="FN19" s="16">
        <v>13.0</v>
      </c>
      <c r="FO19" s="16">
        <v>90.0</v>
      </c>
      <c r="FP19" s="17">
        <f t="shared" si="42"/>
        <v>0.1444444444</v>
      </c>
      <c r="FQ19" s="16">
        <v>1.0</v>
      </c>
      <c r="FR19" s="16">
        <v>40.0</v>
      </c>
      <c r="FS19" s="17">
        <f t="shared" si="43"/>
        <v>0.025</v>
      </c>
      <c r="FT19" s="16">
        <v>4.0</v>
      </c>
      <c r="FU19" s="16"/>
      <c r="FV19" s="16"/>
      <c r="FW19" s="16">
        <v>3.0</v>
      </c>
      <c r="FX19" s="16">
        <v>33.0</v>
      </c>
      <c r="FY19" s="17">
        <f t="shared" si="44"/>
        <v>0.09090909091</v>
      </c>
      <c r="FZ19" s="16">
        <v>5.0</v>
      </c>
      <c r="GA19" s="16"/>
      <c r="GB19" s="16"/>
      <c r="GC19" s="16">
        <v>5.0</v>
      </c>
      <c r="GD19" s="16">
        <v>78.0</v>
      </c>
      <c r="GE19" s="17">
        <f t="shared" si="45"/>
        <v>0.0641025641</v>
      </c>
      <c r="GF19" s="16">
        <v>8.0</v>
      </c>
      <c r="GG19" s="16">
        <v>149.0</v>
      </c>
      <c r="GH19" s="17">
        <f t="shared" si="46"/>
        <v>0.05369127517</v>
      </c>
      <c r="GI19" s="16">
        <v>16.0</v>
      </c>
      <c r="GJ19" s="16">
        <v>313.0</v>
      </c>
      <c r="GK19" s="17">
        <f t="shared" si="47"/>
        <v>0.05111821086</v>
      </c>
      <c r="GL19" s="16">
        <v>0.0</v>
      </c>
      <c r="GM19" s="16">
        <v>14.0</v>
      </c>
      <c r="GN19" s="17">
        <f t="shared" si="63"/>
        <v>0</v>
      </c>
      <c r="GO19" s="16">
        <v>1.0</v>
      </c>
      <c r="GP19" s="16">
        <v>12.0</v>
      </c>
      <c r="GQ19" s="17">
        <f t="shared" si="49"/>
        <v>0.08333333333</v>
      </c>
      <c r="GR19" s="16">
        <v>5.0</v>
      </c>
      <c r="GS19" s="16">
        <v>38.0</v>
      </c>
      <c r="GT19" s="17">
        <f t="shared" si="50"/>
        <v>0.1315789474</v>
      </c>
      <c r="GU19" s="8">
        <v>0.0</v>
      </c>
      <c r="GV19" s="16">
        <v>12.0</v>
      </c>
      <c r="GW19" s="17">
        <f t="shared" si="51"/>
        <v>0</v>
      </c>
      <c r="GX19" s="16">
        <v>37.0</v>
      </c>
      <c r="GY19" s="16">
        <v>716.0</v>
      </c>
      <c r="GZ19" s="16"/>
      <c r="HA19" s="16">
        <v>17.0</v>
      </c>
      <c r="HB19" s="16">
        <v>227.0</v>
      </c>
      <c r="HC19" s="17">
        <f t="shared" si="52"/>
        <v>0.07488986784</v>
      </c>
      <c r="HD19" s="16"/>
      <c r="HE19" s="16"/>
      <c r="HF19" s="16"/>
    </row>
    <row r="20" ht="15.75" customHeight="1">
      <c r="A20" s="1">
        <f t="shared" si="58"/>
        <v>44317</v>
      </c>
      <c r="B20" s="8">
        <v>242.0</v>
      </c>
      <c r="C20" s="23">
        <v>1068.0</v>
      </c>
      <c r="D20" s="9">
        <f t="shared" si="1"/>
        <v>0.2265917603</v>
      </c>
      <c r="E20" s="8">
        <v>5.0</v>
      </c>
      <c r="F20" s="8">
        <v>66.0</v>
      </c>
      <c r="G20" s="9">
        <f t="shared" si="2"/>
        <v>0.07575757576</v>
      </c>
      <c r="H20" s="8">
        <v>5.0</v>
      </c>
      <c r="I20" s="8">
        <v>590.0</v>
      </c>
      <c r="J20" s="9">
        <f t="shared" si="3"/>
        <v>0.008474576271</v>
      </c>
      <c r="K20" s="8">
        <v>19.0</v>
      </c>
      <c r="L20" s="8">
        <v>278.0</v>
      </c>
      <c r="M20" s="9">
        <f t="shared" si="61"/>
        <v>0.06834532374</v>
      </c>
      <c r="N20" s="8">
        <v>37.0</v>
      </c>
      <c r="O20" s="8">
        <v>747.0</v>
      </c>
      <c r="P20" s="9">
        <f t="shared" si="4"/>
        <v>0.04953145917</v>
      </c>
      <c r="Q20" s="8">
        <v>3.0</v>
      </c>
      <c r="T20" s="8">
        <v>20.0</v>
      </c>
      <c r="U20" s="8">
        <v>399.0</v>
      </c>
      <c r="V20" s="9">
        <f t="shared" si="53"/>
        <v>0.05012531328</v>
      </c>
      <c r="W20" s="8">
        <v>15.0</v>
      </c>
      <c r="X20" s="8">
        <v>552.0</v>
      </c>
      <c r="Y20" s="9">
        <f t="shared" si="5"/>
        <v>0.02717391304</v>
      </c>
      <c r="Z20" s="8">
        <v>6.0</v>
      </c>
      <c r="AA20" s="8">
        <v>230.0</v>
      </c>
      <c r="AB20" s="9">
        <f t="shared" si="54"/>
        <v>0.02608695652</v>
      </c>
      <c r="AC20" s="8">
        <v>25.0</v>
      </c>
      <c r="AD20" s="8">
        <v>969.0</v>
      </c>
      <c r="AE20" s="9">
        <f t="shared" si="55"/>
        <v>0.0257997936</v>
      </c>
      <c r="AF20" s="8">
        <v>27.0</v>
      </c>
      <c r="AG20" s="8">
        <v>366.0</v>
      </c>
      <c r="AH20" s="9">
        <f t="shared" si="6"/>
        <v>0.0737704918</v>
      </c>
      <c r="AI20" s="10">
        <v>13.0</v>
      </c>
      <c r="AJ20" s="8">
        <v>326.0</v>
      </c>
      <c r="AK20" s="9">
        <f t="shared" si="7"/>
        <v>0.03987730061</v>
      </c>
      <c r="AL20" s="16">
        <v>16.0</v>
      </c>
      <c r="AM20" s="16">
        <v>293.0</v>
      </c>
      <c r="AN20" s="17">
        <f t="shared" si="8"/>
        <v>0.05460750853</v>
      </c>
      <c r="AO20" s="18">
        <v>3.0</v>
      </c>
      <c r="AP20" s="18">
        <v>97.0</v>
      </c>
      <c r="AQ20" s="17">
        <f t="shared" si="9"/>
        <v>0.03092783505</v>
      </c>
      <c r="AR20" s="17"/>
      <c r="AS20" s="16">
        <v>78.0</v>
      </c>
      <c r="AT20" s="17"/>
      <c r="AU20" s="16">
        <v>25.0</v>
      </c>
      <c r="AV20" s="16">
        <v>496.0</v>
      </c>
      <c r="AW20" s="16"/>
      <c r="AX20" s="16">
        <v>3.0</v>
      </c>
      <c r="AY20" s="16">
        <v>77.0</v>
      </c>
      <c r="AZ20" s="17">
        <f t="shared" si="10"/>
        <v>0.03896103896</v>
      </c>
      <c r="BA20" s="16">
        <v>3.0</v>
      </c>
      <c r="BB20" s="16">
        <v>55.0</v>
      </c>
      <c r="BC20" s="17">
        <f t="shared" si="11"/>
        <v>0.05454545455</v>
      </c>
      <c r="BD20" s="16"/>
      <c r="BE20" s="16">
        <v>15.0</v>
      </c>
      <c r="BF20" s="16"/>
      <c r="BG20" s="16"/>
      <c r="BH20" s="18">
        <v>75.0</v>
      </c>
      <c r="BI20" s="16"/>
      <c r="BJ20" s="18">
        <v>3.0</v>
      </c>
      <c r="BK20" s="18">
        <v>203.0</v>
      </c>
      <c r="BL20" s="17">
        <f t="shared" si="12"/>
        <v>0.01477832512</v>
      </c>
      <c r="BM20" s="19">
        <v>2.0</v>
      </c>
      <c r="BN20" s="19">
        <v>44.0</v>
      </c>
      <c r="BO20" s="17">
        <f t="shared" si="13"/>
        <v>0.04545454545</v>
      </c>
      <c r="BP20" s="16">
        <v>2.0</v>
      </c>
      <c r="BQ20" s="16">
        <v>26.0</v>
      </c>
      <c r="BR20" s="17">
        <f t="shared" si="14"/>
        <v>0.07692307692</v>
      </c>
      <c r="BS20" s="16">
        <v>13.0</v>
      </c>
      <c r="BT20" s="16">
        <v>122.0</v>
      </c>
      <c r="BU20" s="17">
        <f t="shared" si="15"/>
        <v>0.106557377</v>
      </c>
      <c r="BV20" s="18">
        <v>2.0</v>
      </c>
      <c r="BW20" s="18">
        <v>85.0</v>
      </c>
      <c r="BX20" s="17">
        <f t="shared" si="16"/>
        <v>0.02352941176</v>
      </c>
      <c r="BY20" s="16">
        <v>2.0</v>
      </c>
      <c r="BZ20" s="16">
        <v>96.0</v>
      </c>
      <c r="CA20" s="13">
        <f t="shared" si="59"/>
        <v>0.02083333333</v>
      </c>
      <c r="CB20" s="18">
        <v>1.0</v>
      </c>
      <c r="CC20" s="16">
        <v>48.0</v>
      </c>
      <c r="CD20" s="17">
        <f t="shared" si="17"/>
        <v>0.02083333333</v>
      </c>
      <c r="CE20" s="16">
        <v>11.0</v>
      </c>
      <c r="CF20" s="8">
        <v>338.0</v>
      </c>
      <c r="CG20" s="17">
        <f t="shared" si="18"/>
        <v>0.0325443787</v>
      </c>
      <c r="CH20" s="16">
        <v>0.0</v>
      </c>
      <c r="CI20" s="16">
        <v>15.0</v>
      </c>
      <c r="CJ20" s="17">
        <f t="shared" si="19"/>
        <v>0</v>
      </c>
      <c r="CK20" s="16">
        <v>2.0</v>
      </c>
      <c r="CL20" s="16">
        <v>96.0</v>
      </c>
      <c r="CM20" s="17">
        <f t="shared" si="20"/>
        <v>0.02083333333</v>
      </c>
      <c r="CN20" s="16">
        <v>0.0</v>
      </c>
      <c r="CO20" s="16">
        <v>83.0</v>
      </c>
      <c r="CP20" s="17">
        <f t="shared" si="21"/>
        <v>0</v>
      </c>
      <c r="CQ20" s="16">
        <v>11.0</v>
      </c>
      <c r="CR20" s="16">
        <v>516.0</v>
      </c>
      <c r="CS20" s="17">
        <f t="shared" si="22"/>
        <v>0.02131782946</v>
      </c>
      <c r="CT20" s="16">
        <v>5.0</v>
      </c>
      <c r="CU20" s="16">
        <v>125.0</v>
      </c>
      <c r="CV20" s="17">
        <f t="shared" si="23"/>
        <v>0.04</v>
      </c>
      <c r="CW20" s="16">
        <v>1.0</v>
      </c>
      <c r="CX20" s="16">
        <v>48.0</v>
      </c>
      <c r="CY20" s="17">
        <f t="shared" si="24"/>
        <v>0.02083333333</v>
      </c>
      <c r="CZ20" s="16">
        <v>14.0</v>
      </c>
      <c r="DA20" s="16">
        <v>143.0</v>
      </c>
      <c r="DB20" s="17">
        <f t="shared" si="56"/>
        <v>0.0979020979</v>
      </c>
      <c r="DC20" s="16">
        <v>2.0</v>
      </c>
      <c r="DD20" s="16">
        <v>88.0</v>
      </c>
      <c r="DE20" s="17">
        <f t="shared" si="25"/>
        <v>0.02272727273</v>
      </c>
      <c r="DF20" s="16">
        <v>3.0</v>
      </c>
      <c r="DG20" s="16">
        <v>63.0</v>
      </c>
      <c r="DH20" s="17">
        <f t="shared" si="62"/>
        <v>0.04761904762</v>
      </c>
      <c r="DI20" s="16">
        <v>10.0</v>
      </c>
      <c r="DJ20" s="16">
        <v>200.0</v>
      </c>
      <c r="DK20" s="17">
        <f t="shared" si="26"/>
        <v>0.05</v>
      </c>
      <c r="DL20" s="16">
        <v>3.0</v>
      </c>
      <c r="DM20" s="16">
        <v>33.0</v>
      </c>
      <c r="DN20" s="17">
        <f t="shared" si="27"/>
        <v>0.09090909091</v>
      </c>
      <c r="DO20" s="16">
        <v>3.0</v>
      </c>
      <c r="DP20" s="16">
        <v>88.0</v>
      </c>
      <c r="DQ20" s="17">
        <f t="shared" si="28"/>
        <v>0.03409090909</v>
      </c>
      <c r="DR20" s="16">
        <v>7.0</v>
      </c>
      <c r="DS20" s="16">
        <v>84.0</v>
      </c>
      <c r="DT20" s="17">
        <f t="shared" si="29"/>
        <v>0.08333333333</v>
      </c>
      <c r="DU20" s="16">
        <v>16.0</v>
      </c>
      <c r="DV20" s="16">
        <v>345.0</v>
      </c>
      <c r="DW20" s="17">
        <f t="shared" si="57"/>
        <v>0.04637681159</v>
      </c>
      <c r="DX20" s="16">
        <v>0.0</v>
      </c>
      <c r="DY20" s="16">
        <v>21.0</v>
      </c>
      <c r="DZ20" s="17">
        <f t="shared" si="30"/>
        <v>0</v>
      </c>
      <c r="EA20" s="22">
        <v>17.0</v>
      </c>
      <c r="EB20" s="16">
        <v>396.0</v>
      </c>
      <c r="EC20" s="17">
        <f t="shared" si="31"/>
        <v>0.04292929293</v>
      </c>
      <c r="ED20" s="16">
        <v>4.0</v>
      </c>
      <c r="EE20" s="16">
        <v>34.0</v>
      </c>
      <c r="EF20" s="17">
        <f t="shared" si="32"/>
        <v>0.1176470588</v>
      </c>
      <c r="EG20" s="16">
        <v>2.0</v>
      </c>
      <c r="EH20" s="16">
        <v>75.0</v>
      </c>
      <c r="EI20" s="17">
        <f t="shared" si="33"/>
        <v>0.02666666667</v>
      </c>
      <c r="EJ20" s="16">
        <v>11.0</v>
      </c>
      <c r="EK20" s="16">
        <v>506.0</v>
      </c>
      <c r="EL20" s="17">
        <f t="shared" si="34"/>
        <v>0.02173913043</v>
      </c>
      <c r="EM20" s="16">
        <v>3.0</v>
      </c>
      <c r="EN20" s="16">
        <v>17.0</v>
      </c>
      <c r="EO20" s="17">
        <f t="shared" si="35"/>
        <v>0.1764705882</v>
      </c>
      <c r="EP20" s="16">
        <v>3.0</v>
      </c>
      <c r="EQ20" s="16">
        <v>149.0</v>
      </c>
      <c r="ER20" s="17">
        <f t="shared" si="60"/>
        <v>0.02013422819</v>
      </c>
      <c r="ES20" s="16">
        <v>1.0</v>
      </c>
      <c r="ET20" s="16">
        <v>92.0</v>
      </c>
      <c r="EU20" s="17">
        <f t="shared" si="36"/>
        <v>0.01086956522</v>
      </c>
      <c r="EV20" s="16"/>
      <c r="EW20" s="16">
        <v>66.0</v>
      </c>
      <c r="EX20" s="17"/>
      <c r="EY20" s="16">
        <v>587.0</v>
      </c>
      <c r="EZ20" s="16">
        <v>873.0</v>
      </c>
      <c r="FA20" s="17">
        <f t="shared" si="37"/>
        <v>0.6723940435</v>
      </c>
      <c r="FB20" s="16">
        <v>254.0</v>
      </c>
      <c r="FC20" s="16">
        <v>1832.0</v>
      </c>
      <c r="FD20" s="17">
        <f t="shared" si="38"/>
        <v>0.1411111111</v>
      </c>
      <c r="FE20" s="8">
        <v>9.0</v>
      </c>
      <c r="FF20" s="16">
        <v>128.0</v>
      </c>
      <c r="FG20" s="17">
        <f t="shared" si="39"/>
        <v>0.0703125</v>
      </c>
      <c r="FH20" s="16">
        <v>5.0</v>
      </c>
      <c r="FI20" s="16">
        <v>112.0</v>
      </c>
      <c r="FJ20" s="17">
        <f t="shared" si="40"/>
        <v>0.04464285714</v>
      </c>
      <c r="FK20" s="16">
        <v>0.0</v>
      </c>
      <c r="FL20" s="16">
        <v>76.0</v>
      </c>
      <c r="FM20" s="17">
        <f t="shared" si="41"/>
        <v>0</v>
      </c>
      <c r="FN20" s="16">
        <v>8.0</v>
      </c>
      <c r="FO20" s="16">
        <v>87.0</v>
      </c>
      <c r="FP20" s="17">
        <f t="shared" si="42"/>
        <v>0.09195402299</v>
      </c>
      <c r="FQ20" s="16">
        <v>2.0</v>
      </c>
      <c r="FR20" s="16">
        <v>47.0</v>
      </c>
      <c r="FS20" s="17">
        <f t="shared" si="43"/>
        <v>0.04255319149</v>
      </c>
      <c r="FT20" s="16">
        <v>7.0</v>
      </c>
      <c r="FU20" s="16"/>
      <c r="FV20" s="16"/>
      <c r="FW20" s="16">
        <v>6.0</v>
      </c>
      <c r="FX20" s="16">
        <v>39.0</v>
      </c>
      <c r="FY20" s="17">
        <f t="shared" si="44"/>
        <v>0.1538461538</v>
      </c>
      <c r="FZ20" s="16">
        <v>1.0</v>
      </c>
      <c r="GA20" s="16"/>
      <c r="GB20" s="16"/>
      <c r="GC20" s="16">
        <v>2.0</v>
      </c>
      <c r="GD20" s="16">
        <v>102.0</v>
      </c>
      <c r="GE20" s="17">
        <f t="shared" si="45"/>
        <v>0.01960784314</v>
      </c>
      <c r="GF20" s="16">
        <v>8.0</v>
      </c>
      <c r="GG20" s="16">
        <v>179.0</v>
      </c>
      <c r="GH20" s="17">
        <f t="shared" si="46"/>
        <v>0.04469273743</v>
      </c>
      <c r="GI20" s="16">
        <v>26.0</v>
      </c>
      <c r="GJ20" s="16">
        <v>428.0</v>
      </c>
      <c r="GK20" s="17">
        <f t="shared" si="47"/>
        <v>0.06074766355</v>
      </c>
      <c r="GL20" s="16">
        <v>1.0</v>
      </c>
      <c r="GM20" s="16">
        <v>15.0</v>
      </c>
      <c r="GN20" s="17">
        <f t="shared" si="63"/>
        <v>0.06666666667</v>
      </c>
      <c r="GO20" s="16">
        <v>2.0</v>
      </c>
      <c r="GP20" s="16">
        <v>21.0</v>
      </c>
      <c r="GQ20" s="17">
        <f t="shared" si="49"/>
        <v>0.09523809524</v>
      </c>
      <c r="GR20" s="16">
        <v>5.0</v>
      </c>
      <c r="GS20" s="16">
        <v>50.0</v>
      </c>
      <c r="GT20" s="17">
        <f t="shared" si="50"/>
        <v>0.1</v>
      </c>
      <c r="GU20" s="8">
        <v>1.0</v>
      </c>
      <c r="GV20" s="16">
        <v>22.0</v>
      </c>
      <c r="GW20" s="17">
        <f t="shared" si="51"/>
        <v>0.04545454545</v>
      </c>
      <c r="GX20" s="16">
        <v>31.0</v>
      </c>
      <c r="GY20" s="16">
        <v>734.0</v>
      </c>
      <c r="GZ20" s="16"/>
      <c r="HA20" s="16">
        <v>9.0</v>
      </c>
      <c r="HB20" s="16">
        <v>268.0</v>
      </c>
      <c r="HC20" s="17">
        <f t="shared" si="52"/>
        <v>0.03358208955</v>
      </c>
      <c r="HD20" s="16"/>
      <c r="HE20" s="16"/>
      <c r="HF20" s="16"/>
    </row>
    <row r="21" ht="15.75" customHeight="1">
      <c r="A21" s="1">
        <f t="shared" si="58"/>
        <v>44348</v>
      </c>
      <c r="B21" s="8">
        <v>202.0</v>
      </c>
      <c r="C21" s="23">
        <v>1058.0</v>
      </c>
      <c r="D21" s="9">
        <f t="shared" si="1"/>
        <v>0.190926276</v>
      </c>
      <c r="E21" s="8">
        <v>3.0</v>
      </c>
      <c r="F21" s="8">
        <v>65.0</v>
      </c>
      <c r="G21" s="9">
        <f t="shared" si="2"/>
        <v>0.04615384615</v>
      </c>
      <c r="H21" s="8">
        <v>17.0</v>
      </c>
      <c r="I21" s="8">
        <v>651.0</v>
      </c>
      <c r="J21" s="9">
        <f t="shared" si="3"/>
        <v>0.02611367127</v>
      </c>
      <c r="K21" s="8">
        <v>14.0</v>
      </c>
      <c r="L21" s="8">
        <v>199.0</v>
      </c>
      <c r="M21" s="9">
        <f t="shared" si="61"/>
        <v>0.07035175879</v>
      </c>
      <c r="N21" s="8">
        <v>47.0</v>
      </c>
      <c r="O21" s="8">
        <v>834.0</v>
      </c>
      <c r="P21" s="9">
        <f t="shared" si="4"/>
        <v>0.05635491607</v>
      </c>
      <c r="Q21" s="8">
        <v>8.0</v>
      </c>
      <c r="T21" s="8">
        <v>16.0</v>
      </c>
      <c r="U21" s="8">
        <v>380.0</v>
      </c>
      <c r="V21" s="9">
        <f t="shared" si="53"/>
        <v>0.04210526316</v>
      </c>
      <c r="W21" s="8">
        <v>16.0</v>
      </c>
      <c r="X21" s="8">
        <v>501.0</v>
      </c>
      <c r="Y21" s="9">
        <f t="shared" si="5"/>
        <v>0.03193612774</v>
      </c>
      <c r="Z21" s="8">
        <v>4.0</v>
      </c>
      <c r="AA21" s="8">
        <v>281.0</v>
      </c>
      <c r="AB21" s="9">
        <f t="shared" si="54"/>
        <v>0.01423487544</v>
      </c>
      <c r="AC21" s="8">
        <v>24.0</v>
      </c>
      <c r="AD21" s="8">
        <v>1038.0</v>
      </c>
      <c r="AE21" s="9">
        <f t="shared" si="55"/>
        <v>0.02312138728</v>
      </c>
      <c r="AF21" s="8">
        <v>17.0</v>
      </c>
      <c r="AG21" s="8">
        <v>408.0</v>
      </c>
      <c r="AH21" s="9">
        <f t="shared" si="6"/>
        <v>0.04166666667</v>
      </c>
      <c r="AI21" s="10">
        <v>11.0</v>
      </c>
      <c r="AJ21" s="8">
        <v>332.0</v>
      </c>
      <c r="AK21" s="9">
        <f t="shared" si="7"/>
        <v>0.03313253012</v>
      </c>
      <c r="AL21" s="16">
        <v>14.0</v>
      </c>
      <c r="AM21" s="16">
        <v>324.0</v>
      </c>
      <c r="AN21" s="17">
        <f t="shared" si="8"/>
        <v>0.04320987654</v>
      </c>
      <c r="AO21" s="18">
        <v>2.0</v>
      </c>
      <c r="AP21" s="18">
        <v>99.0</v>
      </c>
      <c r="AQ21" s="17">
        <f t="shared" si="9"/>
        <v>0.0202020202</v>
      </c>
      <c r="AR21" s="17"/>
      <c r="AS21" s="16">
        <v>77.0</v>
      </c>
      <c r="AT21" s="17"/>
      <c r="AU21" s="16">
        <v>36.0</v>
      </c>
      <c r="AV21" s="16">
        <v>454.0</v>
      </c>
      <c r="AW21" s="16"/>
      <c r="AX21" s="16">
        <v>2.0</v>
      </c>
      <c r="AY21" s="16">
        <v>74.0</v>
      </c>
      <c r="AZ21" s="17">
        <f t="shared" si="10"/>
        <v>0.02702702703</v>
      </c>
      <c r="BA21" s="16">
        <v>3.0</v>
      </c>
      <c r="BB21" s="16">
        <v>75.0</v>
      </c>
      <c r="BC21" s="17">
        <f t="shared" si="11"/>
        <v>0.04</v>
      </c>
      <c r="BD21" s="16"/>
      <c r="BE21" s="16">
        <v>9.0</v>
      </c>
      <c r="BF21" s="16"/>
      <c r="BG21" s="16"/>
      <c r="BH21" s="18">
        <v>81.0</v>
      </c>
      <c r="BI21" s="16"/>
      <c r="BJ21" s="18">
        <v>5.0</v>
      </c>
      <c r="BK21" s="18">
        <v>238.0</v>
      </c>
      <c r="BL21" s="17">
        <f t="shared" si="12"/>
        <v>0.02100840336</v>
      </c>
      <c r="BM21" s="19">
        <v>0.0</v>
      </c>
      <c r="BN21" s="19">
        <v>43.0</v>
      </c>
      <c r="BO21" s="17">
        <f t="shared" si="13"/>
        <v>0</v>
      </c>
      <c r="BP21" s="16">
        <v>9.0</v>
      </c>
      <c r="BQ21" s="16">
        <v>54.0</v>
      </c>
      <c r="BR21" s="17">
        <f t="shared" si="14"/>
        <v>0.1666666667</v>
      </c>
      <c r="BS21" s="16">
        <v>3.0</v>
      </c>
      <c r="BT21" s="16">
        <v>116.0</v>
      </c>
      <c r="BU21" s="17">
        <f t="shared" si="15"/>
        <v>0.02586206897</v>
      </c>
      <c r="BV21" s="18">
        <v>2.0</v>
      </c>
      <c r="BW21" s="18">
        <v>79.0</v>
      </c>
      <c r="BX21" s="17">
        <f t="shared" si="16"/>
        <v>0.0253164557</v>
      </c>
      <c r="BY21" s="16">
        <v>1.0</v>
      </c>
      <c r="BZ21" s="16">
        <v>143.0</v>
      </c>
      <c r="CA21" s="13">
        <f t="shared" si="59"/>
        <v>0.006993006993</v>
      </c>
      <c r="CB21" s="18">
        <v>1.0</v>
      </c>
      <c r="CC21" s="16">
        <v>31.0</v>
      </c>
      <c r="CD21" s="17">
        <f t="shared" si="17"/>
        <v>0.03225806452</v>
      </c>
      <c r="CE21" s="16">
        <v>9.0</v>
      </c>
      <c r="CF21" s="8">
        <v>311.0</v>
      </c>
      <c r="CG21" s="17">
        <f t="shared" si="18"/>
        <v>0.02893890675</v>
      </c>
      <c r="CH21" s="16">
        <v>0.0</v>
      </c>
      <c r="CI21" s="16">
        <v>18.0</v>
      </c>
      <c r="CJ21" s="17">
        <f t="shared" si="19"/>
        <v>0</v>
      </c>
      <c r="CK21" s="16">
        <v>3.0</v>
      </c>
      <c r="CL21" s="16">
        <v>96.0</v>
      </c>
      <c r="CM21" s="17">
        <f t="shared" si="20"/>
        <v>0.03125</v>
      </c>
      <c r="CN21" s="16">
        <v>3.0</v>
      </c>
      <c r="CO21" s="16">
        <v>71.0</v>
      </c>
      <c r="CP21" s="17">
        <f t="shared" si="21"/>
        <v>0.04225352113</v>
      </c>
      <c r="CQ21" s="16">
        <v>15.0</v>
      </c>
      <c r="CR21" s="16">
        <v>503.0</v>
      </c>
      <c r="CS21" s="17">
        <f t="shared" si="22"/>
        <v>0.02982107356</v>
      </c>
      <c r="CT21" s="16">
        <v>4.0</v>
      </c>
      <c r="CU21" s="16">
        <v>155.0</v>
      </c>
      <c r="CV21" s="17">
        <f t="shared" si="23"/>
        <v>0.02580645161</v>
      </c>
      <c r="CW21" s="16">
        <v>1.0</v>
      </c>
      <c r="CX21" s="16">
        <v>31.0</v>
      </c>
      <c r="CY21" s="17">
        <f t="shared" si="24"/>
        <v>0.03225806452</v>
      </c>
      <c r="CZ21" s="16">
        <v>9.0</v>
      </c>
      <c r="DA21" s="16">
        <v>131.0</v>
      </c>
      <c r="DB21" s="17">
        <f t="shared" si="56"/>
        <v>0.06870229008</v>
      </c>
      <c r="DC21" s="16">
        <v>4.0</v>
      </c>
      <c r="DD21" s="16">
        <v>60.0</v>
      </c>
      <c r="DE21" s="17">
        <f t="shared" si="25"/>
        <v>0.06666666667</v>
      </c>
      <c r="DF21" s="16">
        <v>1.0</v>
      </c>
      <c r="DG21" s="16">
        <v>51.0</v>
      </c>
      <c r="DH21" s="17">
        <f t="shared" si="62"/>
        <v>0.01960784314</v>
      </c>
      <c r="DI21" s="16">
        <v>6.0</v>
      </c>
      <c r="DJ21" s="16">
        <v>167.0</v>
      </c>
      <c r="DK21" s="17">
        <f t="shared" si="26"/>
        <v>0.03592814371</v>
      </c>
      <c r="DL21" s="16">
        <v>1.0</v>
      </c>
      <c r="DM21" s="16">
        <v>24.0</v>
      </c>
      <c r="DN21" s="17">
        <f t="shared" si="27"/>
        <v>0.04166666667</v>
      </c>
      <c r="DO21" s="16">
        <v>0.0</v>
      </c>
      <c r="DP21" s="16">
        <v>106.0</v>
      </c>
      <c r="DQ21" s="17">
        <f t="shared" si="28"/>
        <v>0</v>
      </c>
      <c r="DR21" s="16">
        <v>3.0</v>
      </c>
      <c r="DS21" s="16">
        <v>84.0</v>
      </c>
      <c r="DT21" s="17">
        <f t="shared" si="29"/>
        <v>0.03571428571</v>
      </c>
      <c r="DU21" s="16">
        <v>13.0</v>
      </c>
      <c r="DV21" s="16">
        <v>303.0</v>
      </c>
      <c r="DW21" s="17">
        <f t="shared" si="57"/>
        <v>0.04290429043</v>
      </c>
      <c r="DX21" s="16">
        <v>1.0</v>
      </c>
      <c r="DY21" s="16">
        <v>23.0</v>
      </c>
      <c r="DZ21" s="17">
        <f t="shared" si="30"/>
        <v>0.04347826087</v>
      </c>
      <c r="EA21" s="22">
        <v>15.0</v>
      </c>
      <c r="EB21" s="16">
        <v>386.0</v>
      </c>
      <c r="EC21" s="17">
        <f t="shared" si="31"/>
        <v>0.03886010363</v>
      </c>
      <c r="ED21" s="16">
        <v>2.0</v>
      </c>
      <c r="EE21" s="16">
        <v>21.0</v>
      </c>
      <c r="EF21" s="17">
        <f t="shared" si="32"/>
        <v>0.09523809524</v>
      </c>
      <c r="EG21" s="16">
        <v>2.0</v>
      </c>
      <c r="EH21" s="16">
        <v>76.0</v>
      </c>
      <c r="EI21" s="17">
        <f t="shared" si="33"/>
        <v>0.02631578947</v>
      </c>
      <c r="EJ21" s="16">
        <v>10.0</v>
      </c>
      <c r="EK21" s="16">
        <v>545.0</v>
      </c>
      <c r="EL21" s="17">
        <f t="shared" si="34"/>
        <v>0.01834862385</v>
      </c>
      <c r="EM21" s="16">
        <v>0.0</v>
      </c>
      <c r="EN21" s="16">
        <v>11.0</v>
      </c>
      <c r="EO21" s="17">
        <f t="shared" si="35"/>
        <v>0</v>
      </c>
      <c r="EP21" s="16">
        <v>5.0</v>
      </c>
      <c r="EQ21" s="16">
        <v>116.0</v>
      </c>
      <c r="ER21" s="17">
        <f t="shared" si="60"/>
        <v>0.04310344828</v>
      </c>
      <c r="ES21" s="16">
        <v>6.0</v>
      </c>
      <c r="ET21" s="16">
        <v>127.0</v>
      </c>
      <c r="EU21" s="17">
        <f t="shared" si="36"/>
        <v>0.04724409449</v>
      </c>
      <c r="EV21" s="16"/>
      <c r="EW21" s="16">
        <v>64.0</v>
      </c>
      <c r="EX21" s="17"/>
      <c r="EY21" s="16">
        <v>627.0</v>
      </c>
      <c r="EZ21" s="16">
        <v>906.0</v>
      </c>
      <c r="FA21" s="17">
        <f t="shared" si="37"/>
        <v>0.6920529801</v>
      </c>
      <c r="FB21" s="16">
        <v>240.0</v>
      </c>
      <c r="FC21" s="16">
        <v>1800.0</v>
      </c>
      <c r="FD21" s="17">
        <f t="shared" si="38"/>
        <v>0.1300813008</v>
      </c>
      <c r="FE21" s="8">
        <v>4.0</v>
      </c>
      <c r="FF21" s="16">
        <v>133.0</v>
      </c>
      <c r="FG21" s="17">
        <f t="shared" si="39"/>
        <v>0.03007518797</v>
      </c>
      <c r="FH21" s="16">
        <v>9.0</v>
      </c>
      <c r="FI21" s="16">
        <v>93.0</v>
      </c>
      <c r="FJ21" s="17">
        <f t="shared" si="40"/>
        <v>0.09677419355</v>
      </c>
      <c r="FK21" s="16">
        <v>1.0</v>
      </c>
      <c r="FL21" s="16">
        <v>64.0</v>
      </c>
      <c r="FM21" s="17">
        <f t="shared" si="41"/>
        <v>0.015625</v>
      </c>
      <c r="FN21" s="16">
        <v>8.0</v>
      </c>
      <c r="FO21" s="16">
        <v>74.0</v>
      </c>
      <c r="FP21" s="17">
        <f t="shared" si="42"/>
        <v>0.1081081081</v>
      </c>
      <c r="FQ21" s="16">
        <v>2.0</v>
      </c>
      <c r="FR21" s="16">
        <v>60.0</v>
      </c>
      <c r="FS21" s="17">
        <f t="shared" si="43"/>
        <v>0.03333333333</v>
      </c>
      <c r="FT21" s="16">
        <v>4.0</v>
      </c>
      <c r="FU21" s="16"/>
      <c r="FV21" s="16"/>
      <c r="FW21" s="16">
        <v>6.0</v>
      </c>
      <c r="FX21" s="16">
        <v>37.0</v>
      </c>
      <c r="FY21" s="17">
        <f t="shared" si="44"/>
        <v>0.1621621622</v>
      </c>
      <c r="FZ21" s="16">
        <v>3.0</v>
      </c>
      <c r="GA21" s="16"/>
      <c r="GB21" s="16"/>
      <c r="GC21" s="16">
        <v>0.0</v>
      </c>
      <c r="GD21" s="16">
        <v>58.0</v>
      </c>
      <c r="GE21" s="17">
        <f t="shared" si="45"/>
        <v>0</v>
      </c>
      <c r="GF21" s="16">
        <v>3.0</v>
      </c>
      <c r="GG21" s="16">
        <v>161.0</v>
      </c>
      <c r="GH21" s="17">
        <f t="shared" si="46"/>
        <v>0.01863354037</v>
      </c>
      <c r="GI21" s="16">
        <v>25.0</v>
      </c>
      <c r="GJ21" s="16">
        <v>458.0</v>
      </c>
      <c r="GK21" s="17">
        <f t="shared" si="47"/>
        <v>0.05458515284</v>
      </c>
      <c r="GL21" s="16">
        <v>0.0</v>
      </c>
      <c r="GM21" s="16">
        <v>14.0</v>
      </c>
      <c r="GN21" s="17">
        <f t="shared" si="63"/>
        <v>0</v>
      </c>
      <c r="GO21" s="16">
        <v>2.0</v>
      </c>
      <c r="GP21" s="16">
        <v>18.0</v>
      </c>
      <c r="GQ21" s="17">
        <f t="shared" si="49"/>
        <v>0.1111111111</v>
      </c>
      <c r="GR21" s="16">
        <v>6.0</v>
      </c>
      <c r="GS21" s="16">
        <v>44.0</v>
      </c>
      <c r="GT21" s="17">
        <f t="shared" si="50"/>
        <v>0.1363636364</v>
      </c>
      <c r="GU21" s="8">
        <v>2.0</v>
      </c>
      <c r="GV21" s="16">
        <v>28.0</v>
      </c>
      <c r="GW21" s="17">
        <f t="shared" si="51"/>
        <v>0.07142857143</v>
      </c>
      <c r="GX21" s="16">
        <v>35.0</v>
      </c>
      <c r="GY21" s="16">
        <v>696.0</v>
      </c>
      <c r="GZ21" s="16"/>
      <c r="HA21" s="16">
        <v>24.0</v>
      </c>
      <c r="HB21" s="16">
        <v>257.0</v>
      </c>
      <c r="HC21" s="17">
        <f t="shared" si="52"/>
        <v>0.09338521401</v>
      </c>
      <c r="HD21" s="16"/>
      <c r="HE21" s="16"/>
      <c r="HF21" s="16"/>
    </row>
    <row r="22" ht="15.75" customHeight="1">
      <c r="A22" s="1">
        <f t="shared" si="58"/>
        <v>44378</v>
      </c>
      <c r="B22" s="8">
        <v>174.0</v>
      </c>
      <c r="C22" s="23">
        <v>1063.0</v>
      </c>
      <c r="D22" s="9">
        <f t="shared" si="1"/>
        <v>0.1636876764</v>
      </c>
      <c r="E22" s="8">
        <v>5.0</v>
      </c>
      <c r="F22" s="8">
        <v>102.0</v>
      </c>
      <c r="G22" s="9">
        <f t="shared" si="2"/>
        <v>0.04901960784</v>
      </c>
      <c r="H22" s="8">
        <v>18.0</v>
      </c>
      <c r="I22" s="8">
        <v>741.0</v>
      </c>
      <c r="J22" s="9">
        <f t="shared" si="3"/>
        <v>0.02429149798</v>
      </c>
      <c r="K22" s="8">
        <v>16.0</v>
      </c>
      <c r="L22" s="8">
        <v>259.0</v>
      </c>
      <c r="M22" s="9">
        <f t="shared" si="61"/>
        <v>0.06177606178</v>
      </c>
      <c r="N22" s="8">
        <v>53.0</v>
      </c>
      <c r="O22" s="8">
        <v>838.0</v>
      </c>
      <c r="P22" s="9">
        <f t="shared" si="4"/>
        <v>0.06324582339</v>
      </c>
      <c r="Q22" s="8">
        <v>10.0</v>
      </c>
      <c r="T22" s="8">
        <v>22.0</v>
      </c>
      <c r="U22" s="8">
        <v>358.0</v>
      </c>
      <c r="V22" s="9">
        <f t="shared" si="53"/>
        <v>0.06145251397</v>
      </c>
      <c r="W22" s="8">
        <v>23.0</v>
      </c>
      <c r="X22" s="8">
        <v>489.0</v>
      </c>
      <c r="Y22" s="9">
        <f t="shared" si="5"/>
        <v>0.04703476483</v>
      </c>
      <c r="Z22" s="8">
        <v>3.0</v>
      </c>
      <c r="AA22" s="8">
        <v>230.0</v>
      </c>
      <c r="AB22" s="9">
        <f t="shared" si="54"/>
        <v>0.01304347826</v>
      </c>
      <c r="AC22" s="8">
        <v>47.0</v>
      </c>
      <c r="AD22" s="8">
        <v>1126.0</v>
      </c>
      <c r="AE22" s="9">
        <f t="shared" si="55"/>
        <v>0.04174067496</v>
      </c>
      <c r="AF22" s="8">
        <v>11.0</v>
      </c>
      <c r="AG22" s="8">
        <v>425.0</v>
      </c>
      <c r="AH22" s="9">
        <f t="shared" si="6"/>
        <v>0.02588235294</v>
      </c>
      <c r="AI22" s="10">
        <v>12.0</v>
      </c>
      <c r="AJ22" s="8">
        <v>296.0</v>
      </c>
      <c r="AK22" s="9">
        <f t="shared" si="7"/>
        <v>0.04054054054</v>
      </c>
      <c r="AL22" s="16">
        <v>21.0</v>
      </c>
      <c r="AM22" s="16">
        <v>338.0</v>
      </c>
      <c r="AN22" s="17">
        <f t="shared" si="8"/>
        <v>0.06213017751</v>
      </c>
      <c r="AO22" s="18">
        <v>6.0</v>
      </c>
      <c r="AP22" s="18">
        <v>114.0</v>
      </c>
      <c r="AQ22" s="17">
        <f t="shared" si="9"/>
        <v>0.05263157895</v>
      </c>
      <c r="AR22" s="17"/>
      <c r="AS22" s="16">
        <v>107.0</v>
      </c>
      <c r="AT22" s="17"/>
      <c r="AU22" s="16">
        <v>39.0</v>
      </c>
      <c r="AV22" s="16">
        <v>560.0</v>
      </c>
      <c r="AW22" s="16"/>
      <c r="AX22" s="16">
        <v>5.0</v>
      </c>
      <c r="AY22" s="16">
        <v>82.0</v>
      </c>
      <c r="AZ22" s="17">
        <f t="shared" si="10"/>
        <v>0.06097560976</v>
      </c>
      <c r="BA22" s="16">
        <v>5.0</v>
      </c>
      <c r="BB22" s="16">
        <v>80.0</v>
      </c>
      <c r="BC22" s="17">
        <f t="shared" si="11"/>
        <v>0.0625</v>
      </c>
      <c r="BD22" s="16"/>
      <c r="BE22" s="16">
        <v>22.0</v>
      </c>
      <c r="BF22" s="16"/>
      <c r="BG22" s="16"/>
      <c r="BH22" s="18">
        <v>65.0</v>
      </c>
      <c r="BI22" s="16"/>
      <c r="BJ22" s="18">
        <v>6.0</v>
      </c>
      <c r="BK22" s="18">
        <v>243.0</v>
      </c>
      <c r="BL22" s="17">
        <f t="shared" si="12"/>
        <v>0.02469135802</v>
      </c>
      <c r="BM22" s="19">
        <v>1.0</v>
      </c>
      <c r="BN22" s="19">
        <v>50.0</v>
      </c>
      <c r="BO22" s="17">
        <f t="shared" si="13"/>
        <v>0.02</v>
      </c>
      <c r="BP22" s="16">
        <v>2.0</v>
      </c>
      <c r="BQ22" s="16">
        <v>105.0</v>
      </c>
      <c r="BR22" s="17">
        <f t="shared" si="14"/>
        <v>0.01904761905</v>
      </c>
      <c r="BS22" s="16">
        <v>9.0</v>
      </c>
      <c r="BT22" s="16">
        <v>135.0</v>
      </c>
      <c r="BU22" s="17">
        <f t="shared" si="15"/>
        <v>0.06666666667</v>
      </c>
      <c r="BV22" s="18">
        <v>7.0</v>
      </c>
      <c r="BW22" s="18">
        <v>84.0</v>
      </c>
      <c r="BX22" s="17">
        <f t="shared" si="16"/>
        <v>0.08333333333</v>
      </c>
      <c r="BY22" s="16">
        <v>5.0</v>
      </c>
      <c r="BZ22" s="16">
        <v>124.0</v>
      </c>
      <c r="CA22" s="13">
        <f t="shared" si="59"/>
        <v>0.04032258065</v>
      </c>
      <c r="CB22" s="18">
        <v>1.0</v>
      </c>
      <c r="CC22" s="16">
        <v>22.0</v>
      </c>
      <c r="CD22" s="17">
        <f t="shared" si="17"/>
        <v>0.04545454545</v>
      </c>
      <c r="CE22" s="16">
        <v>8.0</v>
      </c>
      <c r="CF22" s="8">
        <v>331.0</v>
      </c>
      <c r="CG22" s="17">
        <f t="shared" si="18"/>
        <v>0.02416918429</v>
      </c>
      <c r="CH22" s="16">
        <v>0.0</v>
      </c>
      <c r="CI22" s="16">
        <v>11.0</v>
      </c>
      <c r="CJ22" s="17">
        <f t="shared" si="19"/>
        <v>0</v>
      </c>
      <c r="CK22" s="16">
        <v>7.0</v>
      </c>
      <c r="CL22" s="16">
        <v>97.0</v>
      </c>
      <c r="CM22" s="17">
        <f t="shared" si="20"/>
        <v>0.07216494845</v>
      </c>
      <c r="CN22" s="16">
        <v>1.0</v>
      </c>
      <c r="CO22" s="16">
        <v>87.0</v>
      </c>
      <c r="CP22" s="17">
        <f t="shared" si="21"/>
        <v>0.01149425287</v>
      </c>
      <c r="CQ22" s="16">
        <v>6.0</v>
      </c>
      <c r="CR22" s="16">
        <v>488.0</v>
      </c>
      <c r="CS22" s="17">
        <f t="shared" si="22"/>
        <v>0.01229508197</v>
      </c>
      <c r="CT22" s="16">
        <v>1.0</v>
      </c>
      <c r="CU22" s="16">
        <v>114.0</v>
      </c>
      <c r="CV22" s="17">
        <f t="shared" si="23"/>
        <v>0.008771929825</v>
      </c>
      <c r="CW22" s="16">
        <v>1.0</v>
      </c>
      <c r="CX22" s="16">
        <v>22.0</v>
      </c>
      <c r="CY22" s="17">
        <f t="shared" si="24"/>
        <v>0.04545454545</v>
      </c>
      <c r="CZ22" s="16">
        <v>10.0</v>
      </c>
      <c r="DA22" s="16">
        <v>134.0</v>
      </c>
      <c r="DB22" s="17">
        <f t="shared" si="56"/>
        <v>0.07462686567</v>
      </c>
      <c r="DC22" s="16">
        <v>8.0</v>
      </c>
      <c r="DD22" s="16">
        <v>78.0</v>
      </c>
      <c r="DE22" s="17">
        <f t="shared" si="25"/>
        <v>0.1025641026</v>
      </c>
      <c r="DF22" s="16">
        <v>2.0</v>
      </c>
      <c r="DG22" s="16">
        <v>45.0</v>
      </c>
      <c r="DH22" s="17">
        <f t="shared" si="62"/>
        <v>0.04444444444</v>
      </c>
      <c r="DI22" s="16">
        <v>10.0</v>
      </c>
      <c r="DJ22" s="16">
        <v>168.0</v>
      </c>
      <c r="DK22" s="17">
        <f t="shared" si="26"/>
        <v>0.05952380952</v>
      </c>
      <c r="DL22" s="16">
        <v>3.0</v>
      </c>
      <c r="DM22" s="16">
        <v>27.0</v>
      </c>
      <c r="DN22" s="17">
        <f t="shared" si="27"/>
        <v>0.1111111111</v>
      </c>
      <c r="DO22" s="16">
        <v>4.0</v>
      </c>
      <c r="DP22" s="16">
        <v>98.0</v>
      </c>
      <c r="DQ22" s="17">
        <f t="shared" si="28"/>
        <v>0.04081632653</v>
      </c>
      <c r="DR22" s="16">
        <v>3.0</v>
      </c>
      <c r="DS22" s="16">
        <v>93.0</v>
      </c>
      <c r="DT22" s="17">
        <f t="shared" si="29"/>
        <v>0.03225806452</v>
      </c>
      <c r="DU22" s="16">
        <v>13.0</v>
      </c>
      <c r="DV22" s="16">
        <v>315.0</v>
      </c>
      <c r="DW22" s="17">
        <f t="shared" si="57"/>
        <v>0.04126984127</v>
      </c>
      <c r="DX22" s="16">
        <v>0.0</v>
      </c>
      <c r="DY22" s="16">
        <v>21.0</v>
      </c>
      <c r="DZ22" s="17">
        <f t="shared" si="30"/>
        <v>0</v>
      </c>
      <c r="EA22" s="22">
        <v>18.0</v>
      </c>
      <c r="EB22" s="16">
        <v>407.0</v>
      </c>
      <c r="EC22" s="17">
        <f t="shared" si="31"/>
        <v>0.04422604423</v>
      </c>
      <c r="ED22" s="16">
        <v>0.0</v>
      </c>
      <c r="EE22" s="16">
        <v>21.0</v>
      </c>
      <c r="EF22" s="17">
        <f t="shared" si="32"/>
        <v>0</v>
      </c>
      <c r="EG22" s="16">
        <v>4.0</v>
      </c>
      <c r="EH22" s="16">
        <v>82.0</v>
      </c>
      <c r="EI22" s="17">
        <f t="shared" si="33"/>
        <v>0.0487804878</v>
      </c>
      <c r="EJ22" s="16">
        <v>6.0</v>
      </c>
      <c r="EK22" s="16">
        <v>541.0</v>
      </c>
      <c r="EL22" s="17">
        <f t="shared" si="34"/>
        <v>0.01109057301</v>
      </c>
      <c r="EM22" s="16">
        <v>0.0</v>
      </c>
      <c r="EN22" s="16">
        <v>10.0</v>
      </c>
      <c r="EO22" s="17">
        <f t="shared" si="35"/>
        <v>0</v>
      </c>
      <c r="EP22" s="16">
        <v>4.0</v>
      </c>
      <c r="EQ22" s="16">
        <v>134.0</v>
      </c>
      <c r="ER22" s="17">
        <f t="shared" si="60"/>
        <v>0.02985074627</v>
      </c>
      <c r="ES22" s="16">
        <v>6.0</v>
      </c>
      <c r="ET22" s="16">
        <v>97.0</v>
      </c>
      <c r="EU22" s="17">
        <f t="shared" si="36"/>
        <v>0.0618556701</v>
      </c>
      <c r="EV22" s="16"/>
      <c r="EW22" s="16">
        <v>45.0</v>
      </c>
      <c r="EX22" s="17"/>
      <c r="EY22" s="16">
        <v>736.0</v>
      </c>
      <c r="EZ22" s="16">
        <v>1043.0</v>
      </c>
      <c r="FA22" s="17">
        <f t="shared" si="37"/>
        <v>0.7056567593</v>
      </c>
      <c r="FB22" s="16">
        <v>297.0</v>
      </c>
      <c r="FC22" s="16">
        <v>1845.0</v>
      </c>
      <c r="FD22" s="17">
        <f t="shared" si="38"/>
        <v>0.1522296258</v>
      </c>
      <c r="FE22" s="8">
        <v>9.0</v>
      </c>
      <c r="FF22" s="16">
        <v>133.0</v>
      </c>
      <c r="FG22" s="17">
        <f t="shared" si="39"/>
        <v>0.06766917293</v>
      </c>
      <c r="FH22" s="16">
        <v>2.0</v>
      </c>
      <c r="FI22" s="16">
        <v>81.0</v>
      </c>
      <c r="FJ22" s="17">
        <f t="shared" si="40"/>
        <v>0.02469135802</v>
      </c>
      <c r="FK22" s="16">
        <v>1.0</v>
      </c>
      <c r="FL22" s="16">
        <v>72.0</v>
      </c>
      <c r="FM22" s="17">
        <f t="shared" si="41"/>
        <v>0.01388888889</v>
      </c>
      <c r="FN22" s="16">
        <v>10.0</v>
      </c>
      <c r="FO22" s="16">
        <v>105.0</v>
      </c>
      <c r="FP22" s="17">
        <f t="shared" si="42"/>
        <v>0.09523809524</v>
      </c>
      <c r="FQ22" s="16">
        <v>1.0</v>
      </c>
      <c r="FR22" s="16">
        <v>59.0</v>
      </c>
      <c r="FS22" s="17">
        <f t="shared" si="43"/>
        <v>0.01694915254</v>
      </c>
      <c r="FT22" s="16">
        <v>12.0</v>
      </c>
      <c r="FU22" s="16"/>
      <c r="FV22" s="16"/>
      <c r="FW22" s="16">
        <v>3.0</v>
      </c>
      <c r="FX22" s="16">
        <v>41.0</v>
      </c>
      <c r="FY22" s="17">
        <f t="shared" si="44"/>
        <v>0.07317073171</v>
      </c>
      <c r="FZ22" s="16">
        <v>3.0</v>
      </c>
      <c r="GA22" s="16"/>
      <c r="GB22" s="16"/>
      <c r="GC22" s="16">
        <v>5.0</v>
      </c>
      <c r="GD22" s="16">
        <v>106.0</v>
      </c>
      <c r="GE22" s="17">
        <f t="shared" si="45"/>
        <v>0.04716981132</v>
      </c>
      <c r="GF22" s="16">
        <v>1.0</v>
      </c>
      <c r="GG22" s="16">
        <v>159.0</v>
      </c>
      <c r="GH22" s="17">
        <f t="shared" si="46"/>
        <v>0.006289308176</v>
      </c>
      <c r="GI22" s="16">
        <v>17.0</v>
      </c>
      <c r="GJ22" s="16">
        <v>435.0</v>
      </c>
      <c r="GK22" s="17">
        <f t="shared" si="47"/>
        <v>0.03908045977</v>
      </c>
      <c r="GL22" s="16">
        <v>1.0</v>
      </c>
      <c r="GM22" s="16">
        <v>21.0</v>
      </c>
      <c r="GN22" s="17">
        <f t="shared" si="63"/>
        <v>0.04761904762</v>
      </c>
      <c r="GO22" s="16">
        <v>3.0</v>
      </c>
      <c r="GP22" s="16">
        <v>27.0</v>
      </c>
      <c r="GQ22" s="17">
        <f t="shared" si="49"/>
        <v>0.1111111111</v>
      </c>
      <c r="GR22" s="16">
        <v>5.0</v>
      </c>
      <c r="GS22" s="16">
        <v>53.0</v>
      </c>
      <c r="GT22" s="17">
        <f t="shared" si="50"/>
        <v>0.09433962264</v>
      </c>
      <c r="GU22" s="8">
        <v>1.0</v>
      </c>
      <c r="GV22" s="16">
        <v>26.0</v>
      </c>
      <c r="GW22" s="17">
        <f t="shared" si="51"/>
        <v>0.03846153846</v>
      </c>
      <c r="GX22" s="16">
        <v>33.0</v>
      </c>
      <c r="GY22" s="16">
        <v>653.0</v>
      </c>
      <c r="GZ22" s="16"/>
      <c r="HA22" s="16">
        <v>16.0</v>
      </c>
      <c r="HB22" s="16">
        <v>233.0</v>
      </c>
      <c r="HC22" s="17">
        <f t="shared" si="52"/>
        <v>0.0686695279</v>
      </c>
      <c r="HD22" s="16"/>
      <c r="HE22" s="16"/>
      <c r="HF22" s="16"/>
    </row>
    <row r="23" ht="15.75" customHeight="1">
      <c r="A23" s="1">
        <f t="shared" si="58"/>
        <v>44409</v>
      </c>
      <c r="B23" s="8">
        <v>214.0</v>
      </c>
      <c r="C23" s="23">
        <v>1129.0</v>
      </c>
      <c r="D23" s="9">
        <f t="shared" si="1"/>
        <v>0.1895482728</v>
      </c>
      <c r="E23" s="8">
        <v>8.0</v>
      </c>
      <c r="F23" s="8">
        <v>87.0</v>
      </c>
      <c r="G23" s="9">
        <f t="shared" si="2"/>
        <v>0.09195402299</v>
      </c>
      <c r="H23" s="8">
        <v>20.0</v>
      </c>
      <c r="I23" s="8">
        <v>804.0</v>
      </c>
      <c r="J23" s="9">
        <f t="shared" si="3"/>
        <v>0.02487562189</v>
      </c>
      <c r="K23" s="8">
        <v>23.0</v>
      </c>
      <c r="L23" s="8">
        <v>256.0</v>
      </c>
      <c r="M23" s="9">
        <f t="shared" si="61"/>
        <v>0.08984375</v>
      </c>
      <c r="N23" s="8">
        <v>55.0</v>
      </c>
      <c r="O23" s="8">
        <v>910.0</v>
      </c>
      <c r="P23" s="9">
        <f t="shared" si="4"/>
        <v>0.06043956044</v>
      </c>
      <c r="Q23" s="8">
        <v>6.0</v>
      </c>
      <c r="T23" s="8">
        <v>22.0</v>
      </c>
      <c r="U23" s="8">
        <v>348.0</v>
      </c>
      <c r="V23" s="9">
        <f t="shared" si="53"/>
        <v>0.0632183908</v>
      </c>
      <c r="W23" s="8">
        <v>30.0</v>
      </c>
      <c r="X23" s="8">
        <v>477.0</v>
      </c>
      <c r="Y23" s="9">
        <f t="shared" si="5"/>
        <v>0.06289308176</v>
      </c>
      <c r="Z23" s="8">
        <v>2.0</v>
      </c>
      <c r="AA23" s="8">
        <v>257.0</v>
      </c>
      <c r="AB23" s="9">
        <f t="shared" si="54"/>
        <v>0.007782101167</v>
      </c>
      <c r="AC23" s="8">
        <v>33.0</v>
      </c>
      <c r="AD23" s="8">
        <v>1135.0</v>
      </c>
      <c r="AE23" s="9">
        <f t="shared" si="55"/>
        <v>0.02907488987</v>
      </c>
      <c r="AF23" s="8">
        <v>20.0</v>
      </c>
      <c r="AG23" s="8">
        <v>417.0</v>
      </c>
      <c r="AH23" s="9">
        <f t="shared" si="6"/>
        <v>0.0479616307</v>
      </c>
      <c r="AI23" s="10">
        <v>10.0</v>
      </c>
      <c r="AJ23" s="8">
        <v>300.0</v>
      </c>
      <c r="AK23" s="9">
        <f t="shared" si="7"/>
        <v>0.03333333333</v>
      </c>
      <c r="AL23" s="16">
        <v>14.0</v>
      </c>
      <c r="AM23" s="16">
        <v>337.0</v>
      </c>
      <c r="AN23" s="17">
        <f t="shared" si="8"/>
        <v>0.04154302671</v>
      </c>
      <c r="AO23" s="18">
        <v>8.0</v>
      </c>
      <c r="AP23" s="18">
        <v>130.0</v>
      </c>
      <c r="AQ23" s="17">
        <f t="shared" si="9"/>
        <v>0.06153846154</v>
      </c>
      <c r="AR23" s="17"/>
      <c r="AS23" s="16">
        <v>98.0</v>
      </c>
      <c r="AT23" s="17"/>
      <c r="AU23" s="16">
        <v>27.0</v>
      </c>
      <c r="AV23" s="16">
        <v>573.0</v>
      </c>
      <c r="AW23" s="16"/>
      <c r="AX23" s="16">
        <v>4.0</v>
      </c>
      <c r="AY23" s="16">
        <v>79.0</v>
      </c>
      <c r="AZ23" s="17">
        <f t="shared" si="10"/>
        <v>0.05063291139</v>
      </c>
      <c r="BA23" s="16">
        <v>2.0</v>
      </c>
      <c r="BB23" s="16">
        <v>82.0</v>
      </c>
      <c r="BC23" s="17">
        <f t="shared" si="11"/>
        <v>0.0243902439</v>
      </c>
      <c r="BD23" s="16"/>
      <c r="BE23" s="16">
        <v>16.0</v>
      </c>
      <c r="BF23" s="16"/>
      <c r="BG23" s="16"/>
      <c r="BH23" s="18">
        <v>45.0</v>
      </c>
      <c r="BI23" s="16"/>
      <c r="BJ23" s="18">
        <v>6.0</v>
      </c>
      <c r="BK23" s="18">
        <v>233.0</v>
      </c>
      <c r="BL23" s="17">
        <f t="shared" si="12"/>
        <v>0.02575107296</v>
      </c>
      <c r="BM23" s="19">
        <v>0.0</v>
      </c>
      <c r="BN23" s="19">
        <v>31.0</v>
      </c>
      <c r="BO23" s="17">
        <f t="shared" si="13"/>
        <v>0</v>
      </c>
      <c r="BP23" s="16">
        <v>4.0</v>
      </c>
      <c r="BQ23" s="16">
        <v>132.0</v>
      </c>
      <c r="BR23" s="17">
        <f t="shared" si="14"/>
        <v>0.0303030303</v>
      </c>
      <c r="BS23" s="16">
        <v>6.0</v>
      </c>
      <c r="BT23" s="16">
        <v>131.0</v>
      </c>
      <c r="BU23" s="17">
        <f t="shared" si="15"/>
        <v>0.04580152672</v>
      </c>
      <c r="BV23" s="18">
        <v>7.0</v>
      </c>
      <c r="BW23" s="18">
        <v>67.0</v>
      </c>
      <c r="BX23" s="17">
        <f t="shared" si="16"/>
        <v>0.1044776119</v>
      </c>
      <c r="BY23" s="16">
        <v>2.0</v>
      </c>
      <c r="BZ23" s="16">
        <v>122.0</v>
      </c>
      <c r="CA23" s="13">
        <f t="shared" si="59"/>
        <v>0.01639344262</v>
      </c>
      <c r="CB23" s="18">
        <v>0.0</v>
      </c>
      <c r="CC23" s="16">
        <v>32.0</v>
      </c>
      <c r="CD23" s="17">
        <f t="shared" si="17"/>
        <v>0</v>
      </c>
      <c r="CE23" s="16">
        <v>13.0</v>
      </c>
      <c r="CF23" s="8">
        <v>368.0</v>
      </c>
      <c r="CG23" s="17">
        <f t="shared" si="18"/>
        <v>0.03532608696</v>
      </c>
      <c r="CH23" s="16">
        <v>0.0</v>
      </c>
      <c r="CI23" s="16">
        <v>12.0</v>
      </c>
      <c r="CJ23" s="17">
        <f t="shared" si="19"/>
        <v>0</v>
      </c>
      <c r="CK23" s="16">
        <v>6.0</v>
      </c>
      <c r="CL23" s="16">
        <v>108.0</v>
      </c>
      <c r="CM23" s="17">
        <f t="shared" si="20"/>
        <v>0.05555555556</v>
      </c>
      <c r="CN23" s="16">
        <v>3.0</v>
      </c>
      <c r="CO23" s="16">
        <v>70.0</v>
      </c>
      <c r="CP23" s="17">
        <f t="shared" si="21"/>
        <v>0.04285714286</v>
      </c>
      <c r="CQ23" s="16">
        <v>11.0</v>
      </c>
      <c r="CR23" s="16">
        <v>437.0</v>
      </c>
      <c r="CS23" s="17">
        <f t="shared" si="22"/>
        <v>0.02517162471</v>
      </c>
      <c r="CT23" s="16">
        <v>3.0</v>
      </c>
      <c r="CU23" s="16">
        <v>127.0</v>
      </c>
      <c r="CV23" s="17">
        <f t="shared" si="23"/>
        <v>0.02362204724</v>
      </c>
      <c r="CW23" s="16">
        <v>0.0</v>
      </c>
      <c r="CX23" s="16">
        <v>32.0</v>
      </c>
      <c r="CY23" s="17">
        <f t="shared" si="24"/>
        <v>0</v>
      </c>
      <c r="CZ23" s="16">
        <v>14.0</v>
      </c>
      <c r="DA23" s="16">
        <v>118.0</v>
      </c>
      <c r="DB23" s="17">
        <f t="shared" si="56"/>
        <v>0.1186440678</v>
      </c>
      <c r="DC23" s="16">
        <v>3.0</v>
      </c>
      <c r="DD23" s="16">
        <v>100.0</v>
      </c>
      <c r="DE23" s="17">
        <f t="shared" si="25"/>
        <v>0.03</v>
      </c>
      <c r="DF23" s="16">
        <v>2.0</v>
      </c>
      <c r="DG23" s="16">
        <v>69.0</v>
      </c>
      <c r="DH23" s="17">
        <f t="shared" si="62"/>
        <v>0.02898550725</v>
      </c>
      <c r="DI23" s="16">
        <v>13.0</v>
      </c>
      <c r="DJ23" s="16">
        <v>183.0</v>
      </c>
      <c r="DK23" s="17">
        <f t="shared" si="26"/>
        <v>0.07103825137</v>
      </c>
      <c r="DL23" s="16">
        <v>2.0</v>
      </c>
      <c r="DM23" s="16">
        <v>34.0</v>
      </c>
      <c r="DN23" s="17">
        <f t="shared" si="27"/>
        <v>0.05882352941</v>
      </c>
      <c r="DO23" s="16">
        <v>2.0</v>
      </c>
      <c r="DP23" s="16">
        <v>77.0</v>
      </c>
      <c r="DQ23" s="17">
        <f t="shared" si="28"/>
        <v>0.02597402597</v>
      </c>
      <c r="DR23" s="16">
        <v>8.0</v>
      </c>
      <c r="DS23" s="16">
        <v>120.0</v>
      </c>
      <c r="DT23" s="17">
        <f t="shared" si="29"/>
        <v>0.06666666667</v>
      </c>
      <c r="DU23" s="16">
        <v>14.0</v>
      </c>
      <c r="DV23" s="16">
        <v>313.0</v>
      </c>
      <c r="DW23" s="17">
        <f t="shared" si="57"/>
        <v>0.0447284345</v>
      </c>
      <c r="DX23" s="16">
        <v>1.0</v>
      </c>
      <c r="DY23" s="16">
        <v>11.0</v>
      </c>
      <c r="DZ23" s="17">
        <f t="shared" si="30"/>
        <v>0.09090909091</v>
      </c>
      <c r="EA23" s="22">
        <v>22.0</v>
      </c>
      <c r="EB23" s="16">
        <v>444.0</v>
      </c>
      <c r="EC23" s="17">
        <f t="shared" si="31"/>
        <v>0.04954954955</v>
      </c>
      <c r="ED23" s="16">
        <v>2.0</v>
      </c>
      <c r="EE23" s="16">
        <v>35.0</v>
      </c>
      <c r="EF23" s="17">
        <f t="shared" si="32"/>
        <v>0.05714285714</v>
      </c>
      <c r="EG23" s="16">
        <v>2.0</v>
      </c>
      <c r="EH23" s="16">
        <v>85.0</v>
      </c>
      <c r="EI23" s="17">
        <f t="shared" si="33"/>
        <v>0.02352941176</v>
      </c>
      <c r="EJ23" s="16">
        <v>10.0</v>
      </c>
      <c r="EK23" s="16">
        <v>537.0</v>
      </c>
      <c r="EL23" s="17">
        <f t="shared" si="34"/>
        <v>0.01862197393</v>
      </c>
      <c r="EM23" s="16">
        <v>3.0</v>
      </c>
      <c r="EN23" s="16">
        <v>17.0</v>
      </c>
      <c r="EO23" s="17">
        <f t="shared" si="35"/>
        <v>0.1764705882</v>
      </c>
      <c r="EP23" s="16">
        <v>6.0</v>
      </c>
      <c r="EQ23" s="16">
        <v>191.0</v>
      </c>
      <c r="ER23" s="17">
        <f t="shared" si="60"/>
        <v>0.03141361257</v>
      </c>
      <c r="ES23" s="16">
        <v>4.0</v>
      </c>
      <c r="ET23" s="16">
        <v>96.0</v>
      </c>
      <c r="EU23" s="17">
        <f t="shared" si="36"/>
        <v>0.04166666667</v>
      </c>
      <c r="EV23" s="16"/>
      <c r="EW23" s="16">
        <v>57.0</v>
      </c>
      <c r="EX23" s="17"/>
      <c r="EY23" s="16">
        <v>824.0</v>
      </c>
      <c r="EZ23" s="16">
        <v>1136.0</v>
      </c>
      <c r="FA23" s="17">
        <f t="shared" si="37"/>
        <v>0.7253521127</v>
      </c>
      <c r="FB23" s="16">
        <v>344.0</v>
      </c>
      <c r="FC23" s="16">
        <v>1951.0</v>
      </c>
      <c r="FD23" s="17">
        <f t="shared" si="38"/>
        <v>0.167804878</v>
      </c>
      <c r="FE23" s="8">
        <v>6.0</v>
      </c>
      <c r="FF23" s="16">
        <v>137.0</v>
      </c>
      <c r="FG23" s="17">
        <f t="shared" si="39"/>
        <v>0.04379562044</v>
      </c>
      <c r="FH23" s="16">
        <v>7.0</v>
      </c>
      <c r="FI23" s="16">
        <v>113.0</v>
      </c>
      <c r="FJ23" s="17">
        <f t="shared" si="40"/>
        <v>0.06194690265</v>
      </c>
      <c r="FK23" s="16">
        <v>2.0</v>
      </c>
      <c r="FL23" s="16">
        <v>79.0</v>
      </c>
      <c r="FM23" s="17">
        <f t="shared" si="41"/>
        <v>0.0253164557</v>
      </c>
      <c r="FN23" s="16">
        <v>13.0</v>
      </c>
      <c r="FO23" s="16">
        <v>84.0</v>
      </c>
      <c r="FP23" s="17">
        <f t="shared" si="42"/>
        <v>0.1547619048</v>
      </c>
      <c r="FQ23" s="16">
        <v>7.0</v>
      </c>
      <c r="FR23" s="16">
        <v>60.0</v>
      </c>
      <c r="FS23" s="17">
        <f t="shared" si="43"/>
        <v>0.1166666667</v>
      </c>
      <c r="FT23" s="16">
        <v>0.0</v>
      </c>
      <c r="FU23" s="16"/>
      <c r="FV23" s="16"/>
      <c r="FW23" s="16">
        <v>3.0</v>
      </c>
      <c r="FX23" s="16">
        <v>42.0</v>
      </c>
      <c r="FY23" s="17">
        <f t="shared" si="44"/>
        <v>0.07142857143</v>
      </c>
      <c r="FZ23" s="16">
        <v>1.0</v>
      </c>
      <c r="GA23" s="16"/>
      <c r="GB23" s="16"/>
      <c r="GC23" s="16">
        <v>2.0</v>
      </c>
      <c r="GD23" s="16">
        <v>133.0</v>
      </c>
      <c r="GE23" s="17">
        <f t="shared" si="45"/>
        <v>0.01503759398</v>
      </c>
      <c r="GF23" s="16">
        <v>4.0</v>
      </c>
      <c r="GG23" s="16">
        <v>145.0</v>
      </c>
      <c r="GH23" s="17">
        <f t="shared" si="46"/>
        <v>0.0275862069</v>
      </c>
      <c r="GI23" s="16">
        <v>14.0</v>
      </c>
      <c r="GJ23" s="16">
        <v>433.0</v>
      </c>
      <c r="GK23" s="17">
        <f t="shared" si="47"/>
        <v>0.03233256351</v>
      </c>
      <c r="GL23" s="16">
        <v>0.0</v>
      </c>
      <c r="GM23" s="16">
        <v>17.0</v>
      </c>
      <c r="GN23" s="17">
        <f t="shared" si="63"/>
        <v>0</v>
      </c>
      <c r="GO23" s="16">
        <v>1.0</v>
      </c>
      <c r="GP23" s="16">
        <v>21.0</v>
      </c>
      <c r="GQ23" s="17">
        <f t="shared" si="49"/>
        <v>0.04761904762</v>
      </c>
      <c r="GR23" s="16">
        <v>6.0</v>
      </c>
      <c r="GS23" s="16">
        <v>53.0</v>
      </c>
      <c r="GT23" s="17">
        <f t="shared" si="50"/>
        <v>0.1132075472</v>
      </c>
      <c r="GU23" s="8">
        <v>0.0</v>
      </c>
      <c r="GV23" s="16">
        <v>25.0</v>
      </c>
      <c r="GW23" s="17">
        <f t="shared" si="51"/>
        <v>0</v>
      </c>
      <c r="GX23" s="16">
        <v>45.0</v>
      </c>
      <c r="GY23" s="16">
        <v>711.0</v>
      </c>
      <c r="GZ23" s="16"/>
      <c r="HA23" s="16">
        <v>9.0</v>
      </c>
      <c r="HB23" s="16">
        <v>267.0</v>
      </c>
      <c r="HC23" s="17">
        <f t="shared" si="52"/>
        <v>0.03370786517</v>
      </c>
      <c r="HD23" s="16"/>
      <c r="HE23" s="16"/>
      <c r="HF23" s="16"/>
    </row>
    <row r="24" ht="15.75" customHeight="1">
      <c r="A24" s="1">
        <f t="shared" si="58"/>
        <v>44440</v>
      </c>
      <c r="B24" s="8">
        <v>195.0</v>
      </c>
      <c r="C24" s="23">
        <v>1045.0</v>
      </c>
      <c r="D24" s="9">
        <f t="shared" si="1"/>
        <v>0.1866028708</v>
      </c>
      <c r="E24" s="8">
        <v>8.0</v>
      </c>
      <c r="F24" s="8">
        <v>89.0</v>
      </c>
      <c r="G24" s="9">
        <f t="shared" si="2"/>
        <v>0.08988764045</v>
      </c>
      <c r="H24" s="8">
        <v>14.0</v>
      </c>
      <c r="I24" s="8">
        <v>897.0</v>
      </c>
      <c r="J24" s="9">
        <f t="shared" si="3"/>
        <v>0.01560758082</v>
      </c>
      <c r="K24" s="8">
        <v>18.0</v>
      </c>
      <c r="L24" s="8">
        <v>271.0</v>
      </c>
      <c r="M24" s="9">
        <f t="shared" si="61"/>
        <v>0.06642066421</v>
      </c>
      <c r="N24" s="8">
        <v>69.0</v>
      </c>
      <c r="O24" s="8">
        <v>1016.0</v>
      </c>
      <c r="P24" s="9">
        <f t="shared" si="4"/>
        <v>0.06791338583</v>
      </c>
      <c r="Q24" s="8">
        <v>3.0</v>
      </c>
      <c r="T24" s="8">
        <v>17.0</v>
      </c>
      <c r="U24" s="8">
        <v>327.0</v>
      </c>
      <c r="V24" s="9">
        <f t="shared" si="53"/>
        <v>0.05198776758</v>
      </c>
      <c r="W24" s="8">
        <v>17.0</v>
      </c>
      <c r="X24" s="8">
        <v>539.0</v>
      </c>
      <c r="Y24" s="9">
        <f t="shared" si="5"/>
        <v>0.03153988868</v>
      </c>
      <c r="Z24" s="8">
        <v>6.0</v>
      </c>
      <c r="AA24" s="8">
        <v>251.0</v>
      </c>
      <c r="AB24" s="9">
        <f t="shared" si="54"/>
        <v>0.02390438247</v>
      </c>
      <c r="AC24" s="8">
        <v>35.0</v>
      </c>
      <c r="AD24" s="8">
        <v>1096.0</v>
      </c>
      <c r="AE24" s="9">
        <f t="shared" si="55"/>
        <v>0.03193430657</v>
      </c>
      <c r="AF24" s="8">
        <v>14.0</v>
      </c>
      <c r="AG24" s="8">
        <v>363.0</v>
      </c>
      <c r="AH24" s="9">
        <f t="shared" si="6"/>
        <v>0.03856749311</v>
      </c>
      <c r="AI24" s="10">
        <v>5.0</v>
      </c>
      <c r="AJ24" s="8">
        <v>328.0</v>
      </c>
      <c r="AK24" s="9">
        <f t="shared" si="7"/>
        <v>0.01524390244</v>
      </c>
      <c r="AL24" s="16">
        <v>22.0</v>
      </c>
      <c r="AM24" s="16">
        <v>333.0</v>
      </c>
      <c r="AN24" s="17">
        <f t="shared" si="8"/>
        <v>0.06606606607</v>
      </c>
      <c r="AO24" s="18">
        <v>1.0</v>
      </c>
      <c r="AP24" s="18">
        <v>85.0</v>
      </c>
      <c r="AQ24" s="17">
        <f t="shared" si="9"/>
        <v>0.01176470588</v>
      </c>
      <c r="AR24" s="17"/>
      <c r="AS24" s="16">
        <v>94.0</v>
      </c>
      <c r="AT24" s="17"/>
      <c r="AU24" s="16">
        <v>50.0</v>
      </c>
      <c r="AV24" s="16">
        <v>539.0</v>
      </c>
      <c r="AW24" s="16"/>
      <c r="AX24" s="16">
        <v>5.0</v>
      </c>
      <c r="AY24" s="16">
        <v>78.0</v>
      </c>
      <c r="AZ24" s="17">
        <f t="shared" si="10"/>
        <v>0.0641025641</v>
      </c>
      <c r="BA24" s="16">
        <v>2.0</v>
      </c>
      <c r="BB24" s="16">
        <v>63.0</v>
      </c>
      <c r="BC24" s="17">
        <f t="shared" si="11"/>
        <v>0.03174603175</v>
      </c>
      <c r="BD24" s="16"/>
      <c r="BE24" s="16">
        <v>11.0</v>
      </c>
      <c r="BF24" s="16"/>
      <c r="BG24" s="16"/>
      <c r="BH24" s="18">
        <v>53.0</v>
      </c>
      <c r="BI24" s="16"/>
      <c r="BJ24" s="18">
        <v>4.0</v>
      </c>
      <c r="BK24" s="18">
        <v>190.0</v>
      </c>
      <c r="BL24" s="17">
        <f t="shared" si="12"/>
        <v>0.02105263158</v>
      </c>
      <c r="BM24" s="19">
        <v>3.0</v>
      </c>
      <c r="BN24" s="19">
        <v>50.0</v>
      </c>
      <c r="BO24" s="17">
        <f t="shared" si="13"/>
        <v>0.06</v>
      </c>
      <c r="BP24" s="16">
        <v>4.0</v>
      </c>
      <c r="BQ24" s="16">
        <v>135.0</v>
      </c>
      <c r="BR24" s="17">
        <f t="shared" si="14"/>
        <v>0.02962962963</v>
      </c>
      <c r="BS24" s="16">
        <v>4.0</v>
      </c>
      <c r="BT24" s="16">
        <v>97.0</v>
      </c>
      <c r="BU24" s="17">
        <f t="shared" si="15"/>
        <v>0.0412371134</v>
      </c>
      <c r="BV24" s="18">
        <v>5.0</v>
      </c>
      <c r="BW24" s="18">
        <v>99.0</v>
      </c>
      <c r="BX24" s="17">
        <f t="shared" si="16"/>
        <v>0.05050505051</v>
      </c>
      <c r="BY24" s="16">
        <v>2.0</v>
      </c>
      <c r="BZ24" s="16">
        <v>126.0</v>
      </c>
      <c r="CA24" s="13">
        <f t="shared" si="59"/>
        <v>0.01587301587</v>
      </c>
      <c r="CB24" s="18">
        <v>1.0</v>
      </c>
      <c r="CC24" s="16">
        <v>22.0</v>
      </c>
      <c r="CD24" s="17">
        <f t="shared" si="17"/>
        <v>0.04545454545</v>
      </c>
      <c r="CE24" s="16">
        <v>7.0</v>
      </c>
      <c r="CF24" s="8">
        <v>297.0</v>
      </c>
      <c r="CG24" s="17">
        <f t="shared" si="18"/>
        <v>0.02356902357</v>
      </c>
      <c r="CH24" s="16">
        <v>0.0</v>
      </c>
      <c r="CI24" s="16">
        <v>17.0</v>
      </c>
      <c r="CJ24" s="17">
        <f t="shared" si="19"/>
        <v>0</v>
      </c>
      <c r="CK24" s="16">
        <v>4.0</v>
      </c>
      <c r="CL24" s="16">
        <v>91.0</v>
      </c>
      <c r="CM24" s="17">
        <f t="shared" si="20"/>
        <v>0.04395604396</v>
      </c>
      <c r="CN24" s="16">
        <v>1.0</v>
      </c>
      <c r="CO24" s="16">
        <v>64.0</v>
      </c>
      <c r="CP24" s="17">
        <f t="shared" si="21"/>
        <v>0.015625</v>
      </c>
      <c r="CQ24" s="16">
        <v>10.0</v>
      </c>
      <c r="CR24" s="16">
        <v>490.0</v>
      </c>
      <c r="CS24" s="17">
        <f t="shared" si="22"/>
        <v>0.02040816327</v>
      </c>
      <c r="CT24" s="16">
        <v>1.0</v>
      </c>
      <c r="CU24" s="16">
        <v>97.0</v>
      </c>
      <c r="CV24" s="17">
        <f t="shared" si="23"/>
        <v>0.01030927835</v>
      </c>
      <c r="CW24" s="16">
        <v>1.0</v>
      </c>
      <c r="CX24" s="16">
        <v>22.0</v>
      </c>
      <c r="CY24" s="17">
        <f t="shared" si="24"/>
        <v>0.04545454545</v>
      </c>
      <c r="CZ24" s="16">
        <v>7.0</v>
      </c>
      <c r="DA24" s="16">
        <v>142.0</v>
      </c>
      <c r="DB24" s="17">
        <f t="shared" si="56"/>
        <v>0.04929577465</v>
      </c>
      <c r="DC24" s="16">
        <v>3.0</v>
      </c>
      <c r="DD24" s="16">
        <v>68.0</v>
      </c>
      <c r="DE24" s="17">
        <f t="shared" si="25"/>
        <v>0.04411764706</v>
      </c>
      <c r="DF24" s="16">
        <v>2.0</v>
      </c>
      <c r="DG24" s="16">
        <v>82.0</v>
      </c>
      <c r="DH24" s="17">
        <f t="shared" si="62"/>
        <v>0.0243902439</v>
      </c>
      <c r="DI24" s="16">
        <v>10.0</v>
      </c>
      <c r="DJ24" s="16">
        <v>156.0</v>
      </c>
      <c r="DK24" s="17">
        <f t="shared" si="26"/>
        <v>0.0641025641</v>
      </c>
      <c r="DL24" s="16">
        <v>1.0</v>
      </c>
      <c r="DM24" s="16">
        <v>30.0</v>
      </c>
      <c r="DN24" s="17">
        <f t="shared" si="27"/>
        <v>0.03333333333</v>
      </c>
      <c r="DO24" s="16">
        <v>2.0</v>
      </c>
      <c r="DP24" s="16">
        <v>72.0</v>
      </c>
      <c r="DQ24" s="17">
        <f t="shared" si="28"/>
        <v>0.02777777778</v>
      </c>
      <c r="DR24" s="16">
        <v>5.0</v>
      </c>
      <c r="DS24" s="16">
        <v>83.0</v>
      </c>
      <c r="DT24" s="17">
        <f t="shared" si="29"/>
        <v>0.06024096386</v>
      </c>
      <c r="DU24" s="16">
        <v>23.0</v>
      </c>
      <c r="DV24" s="16">
        <v>309.0</v>
      </c>
      <c r="DW24" s="17">
        <f t="shared" si="57"/>
        <v>0.07443365696</v>
      </c>
      <c r="DX24" s="16">
        <v>2.0</v>
      </c>
      <c r="DY24" s="16">
        <v>12.0</v>
      </c>
      <c r="DZ24" s="17">
        <f t="shared" si="30"/>
        <v>0.1666666667</v>
      </c>
      <c r="EA24" s="22">
        <v>22.0</v>
      </c>
      <c r="EB24" s="16">
        <v>420.0</v>
      </c>
      <c r="EC24" s="17">
        <f t="shared" si="31"/>
        <v>0.05238095238</v>
      </c>
      <c r="ED24" s="16">
        <v>0.0</v>
      </c>
      <c r="EE24" s="16">
        <v>27.0</v>
      </c>
      <c r="EF24" s="17">
        <f t="shared" si="32"/>
        <v>0</v>
      </c>
      <c r="EG24" s="16">
        <v>3.0</v>
      </c>
      <c r="EH24" s="16">
        <v>79.0</v>
      </c>
      <c r="EI24" s="17">
        <f t="shared" si="33"/>
        <v>0.03797468354</v>
      </c>
      <c r="EJ24" s="16">
        <v>7.0</v>
      </c>
      <c r="EK24" s="16">
        <v>558.0</v>
      </c>
      <c r="EL24" s="17">
        <f t="shared" si="34"/>
        <v>0.01254480287</v>
      </c>
      <c r="EM24" s="16">
        <v>1.0</v>
      </c>
      <c r="EN24" s="16">
        <v>12.0</v>
      </c>
      <c r="EO24" s="17">
        <f t="shared" si="35"/>
        <v>0.08333333333</v>
      </c>
      <c r="EP24" s="16">
        <v>4.0</v>
      </c>
      <c r="EQ24" s="16">
        <v>156.0</v>
      </c>
      <c r="ER24" s="17">
        <f t="shared" si="60"/>
        <v>0.02564102564</v>
      </c>
      <c r="ES24" s="16">
        <v>5.0</v>
      </c>
      <c r="ET24" s="16">
        <v>103.0</v>
      </c>
      <c r="EU24" s="17">
        <f t="shared" si="36"/>
        <v>0.04854368932</v>
      </c>
      <c r="EV24" s="16"/>
      <c r="EW24" s="16">
        <v>64.0</v>
      </c>
      <c r="EX24" s="17"/>
      <c r="EY24" s="16">
        <v>592.0</v>
      </c>
      <c r="EZ24" s="16">
        <v>904.0</v>
      </c>
      <c r="FA24" s="17">
        <f t="shared" si="37"/>
        <v>0.6548672566</v>
      </c>
      <c r="FB24" s="16">
        <v>260.0</v>
      </c>
      <c r="FC24" s="16">
        <v>2050.0</v>
      </c>
      <c r="FD24" s="17">
        <f t="shared" si="38"/>
        <v>0.1115879828</v>
      </c>
      <c r="FE24" s="8">
        <v>7.0</v>
      </c>
      <c r="FF24" s="16">
        <v>135.0</v>
      </c>
      <c r="FG24" s="17">
        <f t="shared" si="39"/>
        <v>0.05185185185</v>
      </c>
      <c r="FH24" s="16">
        <v>8.0</v>
      </c>
      <c r="FI24" s="16">
        <v>97.0</v>
      </c>
      <c r="FJ24" s="17">
        <f t="shared" si="40"/>
        <v>0.0824742268</v>
      </c>
      <c r="FK24" s="16">
        <v>2.0</v>
      </c>
      <c r="FL24" s="16">
        <v>97.0</v>
      </c>
      <c r="FM24" s="17">
        <f t="shared" si="41"/>
        <v>0.0206185567</v>
      </c>
      <c r="FN24" s="16">
        <v>4.0</v>
      </c>
      <c r="FO24" s="16">
        <v>90.0</v>
      </c>
      <c r="FP24" s="17">
        <f t="shared" si="42"/>
        <v>0.04444444444</v>
      </c>
      <c r="FQ24" s="16">
        <v>6.0</v>
      </c>
      <c r="FR24" s="16">
        <v>48.0</v>
      </c>
      <c r="FS24" s="17">
        <f t="shared" si="43"/>
        <v>0.125</v>
      </c>
      <c r="FT24" s="16">
        <v>10.0</v>
      </c>
      <c r="FU24" s="16"/>
      <c r="FV24" s="16"/>
      <c r="FW24" s="16">
        <v>6.0</v>
      </c>
      <c r="FX24" s="16">
        <v>52.0</v>
      </c>
      <c r="FY24" s="17">
        <f t="shared" si="44"/>
        <v>0.1153846154</v>
      </c>
      <c r="FZ24" s="16">
        <v>0.0</v>
      </c>
      <c r="GA24" s="16"/>
      <c r="GB24" s="16"/>
      <c r="GC24" s="16">
        <v>0.0</v>
      </c>
      <c r="GD24" s="16">
        <v>140.0</v>
      </c>
      <c r="GE24" s="17">
        <f t="shared" si="45"/>
        <v>0</v>
      </c>
      <c r="GF24" s="16">
        <v>2.0</v>
      </c>
      <c r="GG24" s="16">
        <v>163.0</v>
      </c>
      <c r="GH24" s="17">
        <f t="shared" si="46"/>
        <v>0.01226993865</v>
      </c>
      <c r="GI24" s="16">
        <v>20.0</v>
      </c>
      <c r="GJ24" s="16">
        <v>505.0</v>
      </c>
      <c r="GK24" s="17">
        <f t="shared" si="47"/>
        <v>0.0396039604</v>
      </c>
      <c r="GL24" s="16">
        <v>1.0</v>
      </c>
      <c r="GM24" s="16">
        <v>17.0</v>
      </c>
      <c r="GN24" s="17">
        <f t="shared" si="63"/>
        <v>0.05882352941</v>
      </c>
      <c r="GO24" s="16">
        <v>2.0</v>
      </c>
      <c r="GP24" s="16">
        <v>16.0</v>
      </c>
      <c r="GQ24" s="17">
        <f t="shared" si="49"/>
        <v>0.125</v>
      </c>
      <c r="GR24" s="16">
        <v>8.0</v>
      </c>
      <c r="GS24" s="16">
        <v>81.0</v>
      </c>
      <c r="GT24" s="17">
        <f t="shared" si="50"/>
        <v>0.0987654321</v>
      </c>
      <c r="GU24" s="8">
        <v>2.0</v>
      </c>
      <c r="GV24" s="16">
        <v>24.0</v>
      </c>
      <c r="GW24" s="17">
        <f t="shared" si="51"/>
        <v>0.08333333333</v>
      </c>
      <c r="GX24" s="16">
        <v>23.0</v>
      </c>
      <c r="GY24" s="16">
        <v>660.0</v>
      </c>
      <c r="GZ24" s="16"/>
      <c r="HA24" s="16">
        <v>23.0</v>
      </c>
      <c r="HB24" s="16">
        <v>275.0</v>
      </c>
      <c r="HC24" s="17">
        <f t="shared" si="52"/>
        <v>0.08363636364</v>
      </c>
      <c r="HD24" s="16"/>
      <c r="HE24" s="16"/>
      <c r="HF24" s="16"/>
    </row>
    <row r="25" ht="15.75" customHeight="1">
      <c r="A25" s="1">
        <f t="shared" si="58"/>
        <v>44470</v>
      </c>
      <c r="B25" s="8">
        <v>159.0</v>
      </c>
      <c r="C25" s="8">
        <v>961.0</v>
      </c>
      <c r="D25" s="9">
        <f t="shared" si="1"/>
        <v>0.1654526535</v>
      </c>
      <c r="E25" s="8">
        <v>4.0</v>
      </c>
      <c r="F25" s="8">
        <v>82.0</v>
      </c>
      <c r="G25" s="9">
        <f t="shared" si="2"/>
        <v>0.0487804878</v>
      </c>
      <c r="H25" s="8">
        <v>27.0</v>
      </c>
      <c r="I25" s="8">
        <v>1037.0</v>
      </c>
      <c r="J25" s="9">
        <f t="shared" si="3"/>
        <v>0.02603664417</v>
      </c>
      <c r="K25" s="8">
        <v>16.0</v>
      </c>
      <c r="L25" s="8">
        <v>234.0</v>
      </c>
      <c r="M25" s="9">
        <f t="shared" si="61"/>
        <v>0.06837606838</v>
      </c>
      <c r="N25" s="8">
        <v>68.0</v>
      </c>
      <c r="O25" s="8">
        <v>1163.0</v>
      </c>
      <c r="P25" s="9">
        <f t="shared" si="4"/>
        <v>0.05846947549</v>
      </c>
      <c r="Q25" s="8">
        <v>1.0</v>
      </c>
      <c r="T25" s="8">
        <v>20.0</v>
      </c>
      <c r="U25" s="8">
        <v>329.0</v>
      </c>
      <c r="V25" s="9">
        <f t="shared" si="53"/>
        <v>0.06079027356</v>
      </c>
      <c r="W25" s="8">
        <v>36.0</v>
      </c>
      <c r="X25" s="8">
        <v>665.0</v>
      </c>
      <c r="Y25" s="9">
        <f t="shared" si="5"/>
        <v>0.05413533835</v>
      </c>
      <c r="Z25" s="8">
        <v>4.0</v>
      </c>
      <c r="AA25" s="8">
        <v>309.0</v>
      </c>
      <c r="AB25" s="9">
        <f t="shared" si="54"/>
        <v>0.01294498382</v>
      </c>
      <c r="AC25" s="8">
        <v>61.0</v>
      </c>
      <c r="AD25" s="8">
        <v>1117.0</v>
      </c>
      <c r="AE25" s="9">
        <f t="shared" si="55"/>
        <v>0.05461056401</v>
      </c>
      <c r="AF25" s="8">
        <v>13.0</v>
      </c>
      <c r="AG25" s="8">
        <v>400.0</v>
      </c>
      <c r="AH25" s="9">
        <f t="shared" si="6"/>
        <v>0.0325</v>
      </c>
      <c r="AI25" s="10">
        <v>14.0</v>
      </c>
      <c r="AJ25" s="8">
        <v>336.0</v>
      </c>
      <c r="AK25" s="9">
        <f t="shared" si="7"/>
        <v>0.04166666667</v>
      </c>
      <c r="AL25" s="16">
        <v>23.0</v>
      </c>
      <c r="AM25" s="16">
        <v>381.0</v>
      </c>
      <c r="AN25" s="17">
        <f t="shared" si="8"/>
        <v>0.06036745407</v>
      </c>
      <c r="AO25" s="18">
        <v>3.0</v>
      </c>
      <c r="AP25" s="18">
        <v>100.0</v>
      </c>
      <c r="AQ25" s="17">
        <f t="shared" si="9"/>
        <v>0.03</v>
      </c>
      <c r="AR25" s="17"/>
      <c r="AS25" s="16">
        <v>102.0</v>
      </c>
      <c r="AT25" s="17"/>
      <c r="AU25" s="16">
        <v>59.0</v>
      </c>
      <c r="AV25" s="16">
        <v>570.0</v>
      </c>
      <c r="AW25" s="16"/>
      <c r="AX25" s="16">
        <v>1.0</v>
      </c>
      <c r="AY25" s="16">
        <v>71.0</v>
      </c>
      <c r="AZ25" s="17">
        <f t="shared" si="10"/>
        <v>0.01408450704</v>
      </c>
      <c r="BA25" s="16">
        <v>4.0</v>
      </c>
      <c r="BB25" s="16">
        <v>67.0</v>
      </c>
      <c r="BC25" s="17">
        <f t="shared" si="11"/>
        <v>0.05970149254</v>
      </c>
      <c r="BD25" s="16"/>
      <c r="BE25" s="16">
        <v>12.0</v>
      </c>
      <c r="BF25" s="16"/>
      <c r="BG25" s="16"/>
      <c r="BH25" s="18">
        <v>52.0</v>
      </c>
      <c r="BI25" s="16"/>
      <c r="BJ25" s="18">
        <v>7.0</v>
      </c>
      <c r="BK25" s="18">
        <v>244.0</v>
      </c>
      <c r="BL25" s="17">
        <f t="shared" si="12"/>
        <v>0.02868852459</v>
      </c>
      <c r="BM25" s="19">
        <v>1.0</v>
      </c>
      <c r="BN25" s="19">
        <v>42.0</v>
      </c>
      <c r="BO25" s="17">
        <f t="shared" si="13"/>
        <v>0.02380952381</v>
      </c>
      <c r="BP25" s="16">
        <v>7.0</v>
      </c>
      <c r="BQ25" s="16">
        <v>156.0</v>
      </c>
      <c r="BR25" s="17">
        <f t="shared" si="14"/>
        <v>0.04487179487</v>
      </c>
      <c r="BS25" s="16">
        <v>4.0</v>
      </c>
      <c r="BT25" s="16">
        <v>128.0</v>
      </c>
      <c r="BU25" s="17">
        <f t="shared" si="15"/>
        <v>0.03125</v>
      </c>
      <c r="BV25" s="18">
        <v>6.0</v>
      </c>
      <c r="BW25" s="18">
        <v>76.0</v>
      </c>
      <c r="BX25" s="17">
        <f t="shared" si="16"/>
        <v>0.07894736842</v>
      </c>
      <c r="BY25" s="16">
        <v>2.0</v>
      </c>
      <c r="BZ25" s="16">
        <v>133.0</v>
      </c>
      <c r="CA25" s="13">
        <f t="shared" si="59"/>
        <v>0.01503759398</v>
      </c>
      <c r="CB25" s="18">
        <v>1.0</v>
      </c>
      <c r="CC25" s="16">
        <v>51.0</v>
      </c>
      <c r="CD25" s="17">
        <f t="shared" si="17"/>
        <v>0.01960784314</v>
      </c>
      <c r="CE25" s="16">
        <v>13.0</v>
      </c>
      <c r="CF25" s="8">
        <v>409.0</v>
      </c>
      <c r="CG25" s="17">
        <f t="shared" si="18"/>
        <v>0.03178484108</v>
      </c>
      <c r="CH25" s="16">
        <v>3.0</v>
      </c>
      <c r="CI25" s="16">
        <v>15.0</v>
      </c>
      <c r="CJ25" s="17">
        <f t="shared" si="19"/>
        <v>0.2</v>
      </c>
      <c r="CK25" s="16">
        <v>9.0</v>
      </c>
      <c r="CL25" s="16">
        <v>102.0</v>
      </c>
      <c r="CM25" s="17">
        <f t="shared" si="20"/>
        <v>0.08823529412</v>
      </c>
      <c r="CN25" s="16">
        <v>5.0</v>
      </c>
      <c r="CO25" s="16">
        <v>74.0</v>
      </c>
      <c r="CP25" s="17">
        <f t="shared" si="21"/>
        <v>0.06756756757</v>
      </c>
      <c r="CQ25" s="16">
        <v>16.0</v>
      </c>
      <c r="CR25" s="16">
        <v>580.0</v>
      </c>
      <c r="CS25" s="17">
        <f t="shared" si="22"/>
        <v>0.0275862069</v>
      </c>
      <c r="CT25" s="16">
        <v>2.0</v>
      </c>
      <c r="CU25" s="16">
        <v>124.0</v>
      </c>
      <c r="CV25" s="17">
        <f t="shared" si="23"/>
        <v>0.01612903226</v>
      </c>
      <c r="CW25" s="16">
        <v>1.0</v>
      </c>
      <c r="CX25" s="16">
        <v>51.0</v>
      </c>
      <c r="CY25" s="17">
        <f t="shared" si="24"/>
        <v>0.01960784314</v>
      </c>
      <c r="CZ25" s="16">
        <v>9.0</v>
      </c>
      <c r="DA25" s="16">
        <v>137.0</v>
      </c>
      <c r="DB25" s="17">
        <f t="shared" si="56"/>
        <v>0.06569343066</v>
      </c>
      <c r="DC25" s="16">
        <v>1.0</v>
      </c>
      <c r="DD25" s="16">
        <v>84.0</v>
      </c>
      <c r="DE25" s="17">
        <f t="shared" si="25"/>
        <v>0.0119047619</v>
      </c>
      <c r="DF25" s="16">
        <v>1.0</v>
      </c>
      <c r="DG25" s="16">
        <v>57.0</v>
      </c>
      <c r="DH25" s="17">
        <f t="shared" si="62"/>
        <v>0.01754385965</v>
      </c>
      <c r="DI25" s="16">
        <v>4.0</v>
      </c>
      <c r="DJ25" s="16">
        <v>179.0</v>
      </c>
      <c r="DK25" s="17">
        <f t="shared" si="26"/>
        <v>0.02234636872</v>
      </c>
      <c r="DL25" s="16">
        <v>1.0</v>
      </c>
      <c r="DM25" s="16">
        <v>41.0</v>
      </c>
      <c r="DN25" s="17">
        <f t="shared" si="27"/>
        <v>0.0243902439</v>
      </c>
      <c r="DO25" s="16">
        <v>3.0</v>
      </c>
      <c r="DP25" s="16">
        <v>85.0</v>
      </c>
      <c r="DQ25" s="17">
        <f t="shared" si="28"/>
        <v>0.03529411765</v>
      </c>
      <c r="DR25" s="16">
        <v>10.0</v>
      </c>
      <c r="DS25" s="16">
        <v>80.0</v>
      </c>
      <c r="DT25" s="17">
        <f t="shared" si="29"/>
        <v>0.125</v>
      </c>
      <c r="DU25" s="16">
        <v>27.0</v>
      </c>
      <c r="DV25" s="16">
        <v>359.0</v>
      </c>
      <c r="DW25" s="17">
        <f t="shared" si="57"/>
        <v>0.07520891365</v>
      </c>
      <c r="DX25" s="16">
        <v>1.0</v>
      </c>
      <c r="DY25" s="16">
        <v>9.0</v>
      </c>
      <c r="DZ25" s="17">
        <f t="shared" si="30"/>
        <v>0.1111111111</v>
      </c>
      <c r="EA25" s="22">
        <v>15.0</v>
      </c>
      <c r="EB25" s="16">
        <v>435.0</v>
      </c>
      <c r="EC25" s="17">
        <f t="shared" si="31"/>
        <v>0.03448275862</v>
      </c>
      <c r="ED25" s="16">
        <v>1.0</v>
      </c>
      <c r="EE25" s="16">
        <v>42.0</v>
      </c>
      <c r="EF25" s="17">
        <f t="shared" si="32"/>
        <v>0.02380952381</v>
      </c>
      <c r="EG25" s="16">
        <v>6.0</v>
      </c>
      <c r="EH25" s="16">
        <v>68.0</v>
      </c>
      <c r="EI25" s="17">
        <f t="shared" si="33"/>
        <v>0.08823529412</v>
      </c>
      <c r="EJ25" s="16">
        <v>2.0</v>
      </c>
      <c r="EK25" s="16">
        <v>580.0</v>
      </c>
      <c r="EL25" s="17">
        <f t="shared" si="34"/>
        <v>0.003448275862</v>
      </c>
      <c r="EM25" s="16">
        <v>0.0</v>
      </c>
      <c r="EN25" s="16">
        <v>14.0</v>
      </c>
      <c r="EO25" s="17">
        <f t="shared" si="35"/>
        <v>0</v>
      </c>
      <c r="EP25" s="16">
        <v>8.0</v>
      </c>
      <c r="EQ25" s="16">
        <v>196.0</v>
      </c>
      <c r="ER25" s="17">
        <f t="shared" si="60"/>
        <v>0.04081632653</v>
      </c>
      <c r="ES25" s="16">
        <v>2.0</v>
      </c>
      <c r="ET25" s="16">
        <v>110.0</v>
      </c>
      <c r="EU25" s="17">
        <f t="shared" si="36"/>
        <v>0.01818181818</v>
      </c>
      <c r="EV25" s="16"/>
      <c r="EW25" s="16">
        <v>69.0</v>
      </c>
      <c r="EX25" s="17"/>
      <c r="EY25" s="16">
        <v>554.0</v>
      </c>
      <c r="EZ25" s="16">
        <v>870.0</v>
      </c>
      <c r="FA25" s="17">
        <f t="shared" si="37"/>
        <v>0.6367816092</v>
      </c>
      <c r="FB25" s="16">
        <v>338.0</v>
      </c>
      <c r="FC25" s="16">
        <v>2330.0</v>
      </c>
      <c r="FD25" s="17">
        <f t="shared" si="38"/>
        <v>0.15129812</v>
      </c>
      <c r="FE25" s="8">
        <v>8.0</v>
      </c>
      <c r="FF25" s="16">
        <v>170.0</v>
      </c>
      <c r="FG25" s="17">
        <f t="shared" si="39"/>
        <v>0.04705882353</v>
      </c>
      <c r="FH25" s="16">
        <v>5.0</v>
      </c>
      <c r="FI25" s="16">
        <v>107.0</v>
      </c>
      <c r="FJ25" s="17">
        <f t="shared" si="40"/>
        <v>0.04672897196</v>
      </c>
      <c r="FK25" s="16">
        <v>5.0</v>
      </c>
      <c r="FL25" s="16">
        <v>78.0</v>
      </c>
      <c r="FM25" s="17">
        <f t="shared" si="41"/>
        <v>0.0641025641</v>
      </c>
      <c r="FN25" s="16">
        <v>9.0</v>
      </c>
      <c r="FO25" s="16">
        <v>98.0</v>
      </c>
      <c r="FP25" s="17">
        <f t="shared" si="42"/>
        <v>0.09183673469</v>
      </c>
      <c r="FQ25" s="16">
        <v>3.0</v>
      </c>
      <c r="FR25" s="16">
        <v>67.0</v>
      </c>
      <c r="FS25" s="17">
        <f t="shared" si="43"/>
        <v>0.0447761194</v>
      </c>
      <c r="FT25" s="16">
        <v>4.0</v>
      </c>
      <c r="FU25" s="16"/>
      <c r="FV25" s="16"/>
      <c r="FW25" s="16">
        <v>4.0</v>
      </c>
      <c r="FX25" s="16">
        <v>43.0</v>
      </c>
      <c r="FY25" s="17">
        <f t="shared" si="44"/>
        <v>0.09302325581</v>
      </c>
      <c r="FZ25" s="16">
        <v>5.0</v>
      </c>
      <c r="GA25" s="16"/>
      <c r="GB25" s="16"/>
      <c r="GC25" s="16">
        <v>4.0</v>
      </c>
      <c r="GD25" s="16">
        <v>120.0</v>
      </c>
      <c r="GE25" s="17">
        <f t="shared" si="45"/>
        <v>0.03333333333</v>
      </c>
      <c r="GF25" s="16">
        <v>2.0</v>
      </c>
      <c r="GG25" s="16">
        <v>135.0</v>
      </c>
      <c r="GH25" s="17">
        <f t="shared" si="46"/>
        <v>0.01481481481</v>
      </c>
      <c r="GI25" s="16">
        <v>23.0</v>
      </c>
      <c r="GJ25" s="16">
        <v>535.0</v>
      </c>
      <c r="GK25" s="17">
        <f t="shared" si="47"/>
        <v>0.04299065421</v>
      </c>
      <c r="GL25" s="16">
        <v>6.0</v>
      </c>
      <c r="GM25" s="16">
        <v>179.0</v>
      </c>
      <c r="GN25" s="17">
        <f t="shared" si="63"/>
        <v>0.03351955307</v>
      </c>
      <c r="GO25" s="16">
        <v>0.0</v>
      </c>
      <c r="GP25" s="16">
        <v>16.0</v>
      </c>
      <c r="GQ25" s="17">
        <f t="shared" si="49"/>
        <v>0</v>
      </c>
      <c r="GR25" s="16">
        <v>4.0</v>
      </c>
      <c r="GS25" s="16">
        <v>66.0</v>
      </c>
      <c r="GT25" s="17">
        <f t="shared" si="50"/>
        <v>0.06060606061</v>
      </c>
      <c r="GU25" s="8">
        <v>1.0</v>
      </c>
      <c r="GV25" s="16">
        <v>26.0</v>
      </c>
      <c r="GW25" s="17">
        <f t="shared" si="51"/>
        <v>0.03846153846</v>
      </c>
      <c r="GX25" s="16">
        <v>29.0</v>
      </c>
      <c r="GY25" s="16">
        <v>625.0</v>
      </c>
      <c r="GZ25" s="16"/>
      <c r="HA25" s="16">
        <v>19.0</v>
      </c>
      <c r="HB25" s="16">
        <v>264.0</v>
      </c>
      <c r="HC25" s="17">
        <f t="shared" si="52"/>
        <v>0.07196969697</v>
      </c>
      <c r="HD25" s="16"/>
      <c r="HE25" s="16"/>
      <c r="HF25" s="16"/>
    </row>
    <row r="26" ht="15.75" customHeight="1">
      <c r="A26" s="1">
        <f t="shared" si="58"/>
        <v>44501</v>
      </c>
      <c r="B26" s="8">
        <v>231.0</v>
      </c>
      <c r="C26" s="23">
        <v>1056.0</v>
      </c>
      <c r="D26" s="9">
        <f t="shared" si="1"/>
        <v>0.21875</v>
      </c>
      <c r="E26" s="8">
        <v>5.0</v>
      </c>
      <c r="F26" s="8">
        <v>86.0</v>
      </c>
      <c r="G26" s="9">
        <f t="shared" si="2"/>
        <v>0.05813953488</v>
      </c>
      <c r="H26" s="8">
        <v>27.0</v>
      </c>
      <c r="I26" s="8">
        <v>1140.0</v>
      </c>
      <c r="J26" s="9">
        <f t="shared" si="3"/>
        <v>0.02368421053</v>
      </c>
      <c r="K26" s="8">
        <v>12.0</v>
      </c>
      <c r="L26" s="8">
        <v>252.0</v>
      </c>
      <c r="M26" s="9">
        <f t="shared" si="61"/>
        <v>0.04761904762</v>
      </c>
      <c r="N26" s="8">
        <v>65.0</v>
      </c>
      <c r="O26" s="8">
        <v>1065.0</v>
      </c>
      <c r="P26" s="9">
        <f t="shared" si="4"/>
        <v>0.06103286385</v>
      </c>
      <c r="Q26" s="8">
        <v>10.0</v>
      </c>
      <c r="T26" s="8">
        <v>24.0</v>
      </c>
      <c r="U26" s="8">
        <v>377.0</v>
      </c>
      <c r="V26" s="9">
        <f t="shared" si="53"/>
        <v>0.06366047745</v>
      </c>
      <c r="W26" s="8">
        <v>20.0</v>
      </c>
      <c r="X26" s="8">
        <v>516.0</v>
      </c>
      <c r="Y26" s="9">
        <f t="shared" si="5"/>
        <v>0.03875968992</v>
      </c>
      <c r="Z26" s="8">
        <v>7.0</v>
      </c>
      <c r="AA26" s="8">
        <v>281.0</v>
      </c>
      <c r="AB26" s="9">
        <f t="shared" si="54"/>
        <v>0.02491103203</v>
      </c>
      <c r="AC26" s="8">
        <v>33.0</v>
      </c>
      <c r="AD26" s="8">
        <v>1076.0</v>
      </c>
      <c r="AE26" s="9">
        <f t="shared" si="55"/>
        <v>0.03066914498</v>
      </c>
      <c r="AF26" s="8">
        <v>23.0</v>
      </c>
      <c r="AG26" s="8">
        <v>375.0</v>
      </c>
      <c r="AH26" s="9">
        <f t="shared" si="6"/>
        <v>0.06133333333</v>
      </c>
      <c r="AI26" s="10">
        <v>14.0</v>
      </c>
      <c r="AJ26" s="8">
        <v>326.0</v>
      </c>
      <c r="AK26" s="9">
        <f t="shared" si="7"/>
        <v>0.04294478528</v>
      </c>
      <c r="AL26" s="16">
        <v>10.0</v>
      </c>
      <c r="AM26" s="16">
        <v>261.0</v>
      </c>
      <c r="AN26" s="17">
        <f t="shared" si="8"/>
        <v>0.03831417625</v>
      </c>
      <c r="AO26" s="18">
        <v>4.0</v>
      </c>
      <c r="AP26" s="18">
        <v>133.0</v>
      </c>
      <c r="AQ26" s="17">
        <f t="shared" si="9"/>
        <v>0.03007518797</v>
      </c>
      <c r="AR26" s="17"/>
      <c r="AS26" s="16">
        <v>92.0</v>
      </c>
      <c r="AT26" s="17"/>
      <c r="AU26" s="16">
        <v>33.0</v>
      </c>
      <c r="AV26" s="16">
        <v>509.0</v>
      </c>
      <c r="AW26" s="16"/>
      <c r="AX26" s="16">
        <v>3.0</v>
      </c>
      <c r="AY26" s="16">
        <v>64.0</v>
      </c>
      <c r="AZ26" s="17">
        <f t="shared" si="10"/>
        <v>0.046875</v>
      </c>
      <c r="BA26" s="16">
        <v>3.0</v>
      </c>
      <c r="BB26" s="16">
        <v>70.0</v>
      </c>
      <c r="BC26" s="17">
        <f t="shared" si="11"/>
        <v>0.04285714286</v>
      </c>
      <c r="BD26" s="16"/>
      <c r="BE26" s="16">
        <v>14.0</v>
      </c>
      <c r="BF26" s="16"/>
      <c r="BG26" s="16"/>
      <c r="BH26" s="18">
        <v>75.0</v>
      </c>
      <c r="BI26" s="16"/>
      <c r="BJ26" s="18">
        <v>5.0</v>
      </c>
      <c r="BK26" s="18">
        <v>209.0</v>
      </c>
      <c r="BL26" s="17">
        <f t="shared" si="12"/>
        <v>0.02392344498</v>
      </c>
      <c r="BM26" s="19">
        <v>0.0</v>
      </c>
      <c r="BN26" s="19">
        <v>45.0</v>
      </c>
      <c r="BO26" s="17">
        <f t="shared" si="13"/>
        <v>0</v>
      </c>
      <c r="BP26" s="16">
        <v>8.0</v>
      </c>
      <c r="BQ26" s="16">
        <v>149.0</v>
      </c>
      <c r="BR26" s="17">
        <f t="shared" si="14"/>
        <v>0.05369127517</v>
      </c>
      <c r="BS26" s="16">
        <v>9.0</v>
      </c>
      <c r="BT26" s="16">
        <v>135.0</v>
      </c>
      <c r="BU26" s="17">
        <f t="shared" si="15"/>
        <v>0.06666666667</v>
      </c>
      <c r="BV26" s="18">
        <v>3.0</v>
      </c>
      <c r="BW26" s="18">
        <v>79.0</v>
      </c>
      <c r="BX26" s="17">
        <f t="shared" si="16"/>
        <v>0.03797468354</v>
      </c>
      <c r="BY26" s="16">
        <v>4.0</v>
      </c>
      <c r="BZ26" s="16">
        <v>137.0</v>
      </c>
      <c r="CA26" s="13">
        <f t="shared" si="59"/>
        <v>0.02919708029</v>
      </c>
      <c r="CB26" s="18">
        <v>5.0</v>
      </c>
      <c r="CC26" s="16">
        <v>44.0</v>
      </c>
      <c r="CD26" s="17">
        <f t="shared" si="17"/>
        <v>0.1136363636</v>
      </c>
      <c r="CE26" s="16">
        <v>12.0</v>
      </c>
      <c r="CF26" s="8">
        <v>368.0</v>
      </c>
      <c r="CG26" s="17">
        <f t="shared" si="18"/>
        <v>0.03260869565</v>
      </c>
      <c r="CH26" s="16">
        <v>0.0</v>
      </c>
      <c r="CI26" s="16">
        <v>16.0</v>
      </c>
      <c r="CJ26" s="17">
        <f t="shared" si="19"/>
        <v>0</v>
      </c>
      <c r="CK26" s="16">
        <v>6.0</v>
      </c>
      <c r="CL26" s="16">
        <v>118.0</v>
      </c>
      <c r="CM26" s="17">
        <f t="shared" si="20"/>
        <v>0.05084745763</v>
      </c>
      <c r="CN26" s="16">
        <v>4.0</v>
      </c>
      <c r="CO26" s="16">
        <v>90.0</v>
      </c>
      <c r="CP26" s="17">
        <f t="shared" si="21"/>
        <v>0.04444444444</v>
      </c>
      <c r="CQ26" s="16">
        <v>14.0</v>
      </c>
      <c r="CR26" s="16">
        <v>544.0</v>
      </c>
      <c r="CS26" s="17">
        <f t="shared" si="22"/>
        <v>0.02573529412</v>
      </c>
      <c r="CT26" s="16">
        <v>3.0</v>
      </c>
      <c r="CU26" s="16">
        <v>129.0</v>
      </c>
      <c r="CV26" s="17">
        <f t="shared" si="23"/>
        <v>0.02325581395</v>
      </c>
      <c r="CW26" s="16">
        <v>5.0</v>
      </c>
      <c r="CX26" s="16">
        <v>44.0</v>
      </c>
      <c r="CY26" s="17">
        <f t="shared" si="24"/>
        <v>0.1136363636</v>
      </c>
      <c r="CZ26" s="16">
        <v>12.0</v>
      </c>
      <c r="DA26" s="16">
        <v>117.0</v>
      </c>
      <c r="DB26" s="17">
        <f t="shared" si="56"/>
        <v>0.1025641026</v>
      </c>
      <c r="DC26" s="16">
        <v>6.0</v>
      </c>
      <c r="DD26" s="16">
        <v>61.0</v>
      </c>
      <c r="DE26" s="17">
        <f t="shared" si="25"/>
        <v>0.09836065574</v>
      </c>
      <c r="DF26" s="16">
        <v>5.0</v>
      </c>
      <c r="DG26" s="16">
        <v>75.0</v>
      </c>
      <c r="DH26" s="17">
        <f t="shared" si="62"/>
        <v>0.06666666667</v>
      </c>
      <c r="DI26" s="16">
        <v>8.0</v>
      </c>
      <c r="DJ26" s="16">
        <v>199.0</v>
      </c>
      <c r="DK26" s="17">
        <f t="shared" si="26"/>
        <v>0.04020100503</v>
      </c>
      <c r="DL26" s="16">
        <v>1.0</v>
      </c>
      <c r="DM26" s="16">
        <v>37.0</v>
      </c>
      <c r="DN26" s="17">
        <f t="shared" si="27"/>
        <v>0.02702702703</v>
      </c>
      <c r="DO26" s="16">
        <v>3.0</v>
      </c>
      <c r="DP26" s="16">
        <v>62.0</v>
      </c>
      <c r="DQ26" s="17">
        <f t="shared" si="28"/>
        <v>0.04838709677</v>
      </c>
      <c r="DR26" s="16">
        <v>6.0</v>
      </c>
      <c r="DS26" s="16">
        <v>67.0</v>
      </c>
      <c r="DT26" s="17">
        <f t="shared" si="29"/>
        <v>0.08955223881</v>
      </c>
      <c r="DU26" s="16">
        <v>26.0</v>
      </c>
      <c r="DV26" s="16">
        <v>286.0</v>
      </c>
      <c r="DW26" s="17">
        <f t="shared" si="57"/>
        <v>0.09090909091</v>
      </c>
      <c r="DX26" s="16">
        <v>2.0</v>
      </c>
      <c r="DY26" s="16">
        <v>16.0</v>
      </c>
      <c r="DZ26" s="17">
        <f t="shared" si="30"/>
        <v>0.125</v>
      </c>
      <c r="EA26" s="22">
        <v>15.0</v>
      </c>
      <c r="EB26" s="16">
        <v>422.0</v>
      </c>
      <c r="EC26" s="17">
        <f t="shared" si="31"/>
        <v>0.0355450237</v>
      </c>
      <c r="ED26" s="16">
        <v>0.0</v>
      </c>
      <c r="EE26" s="16">
        <v>31.0</v>
      </c>
      <c r="EF26" s="17">
        <f t="shared" si="32"/>
        <v>0</v>
      </c>
      <c r="EG26" s="16">
        <v>2.0</v>
      </c>
      <c r="EH26" s="16">
        <v>82.0</v>
      </c>
      <c r="EI26" s="17">
        <f t="shared" si="33"/>
        <v>0.0243902439</v>
      </c>
      <c r="EJ26" s="16">
        <v>7.0</v>
      </c>
      <c r="EK26" s="16">
        <v>614.0</v>
      </c>
      <c r="EL26" s="17">
        <f t="shared" si="34"/>
        <v>0.01140065147</v>
      </c>
      <c r="EM26" s="16">
        <v>0.0</v>
      </c>
      <c r="EN26" s="16">
        <v>13.0</v>
      </c>
      <c r="EO26" s="17">
        <f t="shared" si="35"/>
        <v>0</v>
      </c>
      <c r="EP26" s="16">
        <v>8.0</v>
      </c>
      <c r="EQ26" s="16">
        <v>268.0</v>
      </c>
      <c r="ER26" s="17">
        <f t="shared" si="60"/>
        <v>0.02985074627</v>
      </c>
      <c r="ES26" s="16">
        <v>4.0</v>
      </c>
      <c r="ET26" s="16">
        <v>91.0</v>
      </c>
      <c r="EU26" s="17">
        <f t="shared" si="36"/>
        <v>0.04395604396</v>
      </c>
      <c r="EV26" s="16"/>
      <c r="EW26" s="16">
        <v>59.0</v>
      </c>
      <c r="EX26" s="17"/>
      <c r="EY26" s="16">
        <v>529.0</v>
      </c>
      <c r="EZ26" s="16">
        <v>841.0</v>
      </c>
      <c r="FA26" s="17">
        <f t="shared" si="37"/>
        <v>0.6290130797</v>
      </c>
      <c r="FB26" s="16">
        <v>429.0</v>
      </c>
      <c r="FC26" s="16">
        <v>2234.0</v>
      </c>
      <c r="FD26" s="17">
        <f t="shared" si="38"/>
        <v>0.1858752166</v>
      </c>
      <c r="FE26" s="8">
        <v>8.0</v>
      </c>
      <c r="FF26" s="16">
        <v>119.0</v>
      </c>
      <c r="FG26" s="17">
        <f t="shared" si="39"/>
        <v>0.06722689076</v>
      </c>
      <c r="FH26" s="16">
        <v>3.0</v>
      </c>
      <c r="FI26" s="16">
        <v>86.0</v>
      </c>
      <c r="FJ26" s="17">
        <f t="shared" si="40"/>
        <v>0.03488372093</v>
      </c>
      <c r="FK26" s="16">
        <v>0.0</v>
      </c>
      <c r="FL26" s="16">
        <v>65.0</v>
      </c>
      <c r="FM26" s="17">
        <f t="shared" si="41"/>
        <v>0</v>
      </c>
      <c r="FN26" s="16">
        <v>8.0</v>
      </c>
      <c r="FO26" s="16">
        <v>120.0</v>
      </c>
      <c r="FP26" s="17">
        <f t="shared" si="42"/>
        <v>0.06666666667</v>
      </c>
      <c r="FQ26" s="16">
        <v>3.0</v>
      </c>
      <c r="FR26" s="16">
        <v>73.0</v>
      </c>
      <c r="FS26" s="17">
        <f t="shared" si="43"/>
        <v>0.04109589041</v>
      </c>
      <c r="FT26" s="16">
        <v>12.0</v>
      </c>
      <c r="FU26" s="16"/>
      <c r="FV26" s="16"/>
      <c r="FW26" s="16">
        <v>3.0</v>
      </c>
      <c r="FX26" s="16">
        <v>44.0</v>
      </c>
      <c r="FY26" s="17">
        <f t="shared" si="44"/>
        <v>0.06818181818</v>
      </c>
      <c r="FZ26" s="16">
        <v>2.0</v>
      </c>
      <c r="GA26" s="16"/>
      <c r="GB26" s="16"/>
      <c r="GC26" s="16">
        <v>1.0</v>
      </c>
      <c r="GD26" s="16">
        <v>123.0</v>
      </c>
      <c r="GE26" s="17">
        <f t="shared" si="45"/>
        <v>0.008130081301</v>
      </c>
      <c r="GF26" s="16">
        <v>2.0</v>
      </c>
      <c r="GG26" s="16">
        <v>133.0</v>
      </c>
      <c r="GH26" s="17">
        <f t="shared" si="46"/>
        <v>0.01503759398</v>
      </c>
      <c r="GI26" s="16">
        <v>31.0</v>
      </c>
      <c r="GJ26" s="16">
        <v>555.0</v>
      </c>
      <c r="GK26" s="17">
        <f t="shared" si="47"/>
        <v>0.05585585586</v>
      </c>
      <c r="GL26" s="16">
        <v>14.0</v>
      </c>
      <c r="GM26" s="16">
        <v>164.0</v>
      </c>
      <c r="GN26" s="17">
        <f t="shared" si="63"/>
        <v>0.08536585366</v>
      </c>
      <c r="GO26" s="16">
        <v>3.0</v>
      </c>
      <c r="GP26" s="16">
        <v>11.0</v>
      </c>
      <c r="GQ26" s="17">
        <f t="shared" si="49"/>
        <v>0.2727272727</v>
      </c>
      <c r="GR26" s="16">
        <v>4.0</v>
      </c>
      <c r="GS26" s="16">
        <v>76.0</v>
      </c>
      <c r="GT26" s="17">
        <f t="shared" si="50"/>
        <v>0.05263157895</v>
      </c>
      <c r="GU26" s="8">
        <v>2.0</v>
      </c>
      <c r="GV26" s="16">
        <v>26.0</v>
      </c>
      <c r="GW26" s="17">
        <f t="shared" si="51"/>
        <v>0.07692307692</v>
      </c>
      <c r="GX26" s="16">
        <v>26.0</v>
      </c>
      <c r="GY26" s="16">
        <v>597.0</v>
      </c>
      <c r="GZ26" s="16"/>
      <c r="HA26" s="16">
        <v>12.0</v>
      </c>
      <c r="HB26" s="16">
        <v>259.0</v>
      </c>
      <c r="HC26" s="17">
        <f t="shared" si="52"/>
        <v>0.04633204633</v>
      </c>
      <c r="HD26" s="16"/>
      <c r="HE26" s="16"/>
      <c r="HF26" s="16"/>
    </row>
    <row r="27" ht="15.75" customHeight="1">
      <c r="A27" s="1">
        <f t="shared" si="58"/>
        <v>44531</v>
      </c>
      <c r="B27" s="8">
        <v>297.0</v>
      </c>
      <c r="C27" s="23">
        <v>1129.0</v>
      </c>
      <c r="D27" s="9">
        <f t="shared" si="1"/>
        <v>0.263064659</v>
      </c>
      <c r="E27" s="8">
        <v>5.0</v>
      </c>
      <c r="F27" s="8">
        <v>93.0</v>
      </c>
      <c r="G27" s="9">
        <f t="shared" si="2"/>
        <v>0.05376344086</v>
      </c>
      <c r="H27" s="8">
        <v>19.0</v>
      </c>
      <c r="I27" s="8">
        <v>1041.0</v>
      </c>
      <c r="J27" s="9">
        <f t="shared" si="3"/>
        <v>0.01825168108</v>
      </c>
      <c r="K27" s="8">
        <v>23.0</v>
      </c>
      <c r="L27" s="8">
        <v>231.0</v>
      </c>
      <c r="M27" s="9">
        <f t="shared" si="61"/>
        <v>0.09956709957</v>
      </c>
      <c r="N27" s="8">
        <v>71.0</v>
      </c>
      <c r="O27" s="8">
        <v>1096.0</v>
      </c>
      <c r="P27" s="9">
        <f t="shared" si="4"/>
        <v>0.0647810219</v>
      </c>
      <c r="Q27" s="8">
        <v>10.0</v>
      </c>
      <c r="T27" s="8">
        <v>19.0</v>
      </c>
      <c r="U27" s="8">
        <v>302.0</v>
      </c>
      <c r="V27" s="9">
        <f t="shared" si="53"/>
        <v>0.06291390728</v>
      </c>
      <c r="W27" s="8">
        <v>17.0</v>
      </c>
      <c r="X27" s="8">
        <v>497.0</v>
      </c>
      <c r="Y27" s="9">
        <f t="shared" si="5"/>
        <v>0.03420523139</v>
      </c>
      <c r="Z27" s="8">
        <v>9.0</v>
      </c>
      <c r="AA27" s="8">
        <v>300.0</v>
      </c>
      <c r="AB27" s="9">
        <f t="shared" si="54"/>
        <v>0.03</v>
      </c>
      <c r="AC27" s="8">
        <v>21.0</v>
      </c>
      <c r="AD27" s="8">
        <v>1146.0</v>
      </c>
      <c r="AE27" s="9">
        <f t="shared" si="55"/>
        <v>0.01832460733</v>
      </c>
      <c r="AF27" s="8">
        <v>19.0</v>
      </c>
      <c r="AG27" s="8">
        <v>343.0</v>
      </c>
      <c r="AH27" s="9">
        <f t="shared" si="6"/>
        <v>0.05539358601</v>
      </c>
      <c r="AI27" s="10">
        <v>10.0</v>
      </c>
      <c r="AJ27" s="8">
        <v>360.0</v>
      </c>
      <c r="AK27" s="9">
        <f t="shared" si="7"/>
        <v>0.02777777778</v>
      </c>
      <c r="AL27" s="16">
        <v>14.0</v>
      </c>
      <c r="AM27" s="16">
        <v>338.0</v>
      </c>
      <c r="AN27" s="17">
        <f t="shared" si="8"/>
        <v>0.04142011834</v>
      </c>
      <c r="AO27" s="18">
        <v>6.0</v>
      </c>
      <c r="AP27" s="18">
        <v>116.0</v>
      </c>
      <c r="AQ27" s="17">
        <f t="shared" si="9"/>
        <v>0.05172413793</v>
      </c>
      <c r="AR27" s="17"/>
      <c r="AS27" s="16">
        <v>112.0</v>
      </c>
      <c r="AT27" s="17"/>
      <c r="AU27" s="16">
        <v>47.0</v>
      </c>
      <c r="AV27" s="16">
        <v>449.0</v>
      </c>
      <c r="AW27" s="16"/>
      <c r="AX27" s="16">
        <v>1.0</v>
      </c>
      <c r="AY27" s="16">
        <v>85.0</v>
      </c>
      <c r="AZ27" s="17">
        <f t="shared" si="10"/>
        <v>0.01176470588</v>
      </c>
      <c r="BA27" s="16">
        <v>5.0</v>
      </c>
      <c r="BB27" s="16">
        <v>54.0</v>
      </c>
      <c r="BC27" s="17">
        <f t="shared" si="11"/>
        <v>0.09259259259</v>
      </c>
      <c r="BD27" s="16"/>
      <c r="BE27" s="16">
        <v>10.0</v>
      </c>
      <c r="BF27" s="16"/>
      <c r="BG27" s="16"/>
      <c r="BH27" s="18">
        <v>52.0</v>
      </c>
      <c r="BI27" s="16"/>
      <c r="BJ27" s="18">
        <v>5.0</v>
      </c>
      <c r="BK27" s="18">
        <v>196.0</v>
      </c>
      <c r="BL27" s="17">
        <f t="shared" si="12"/>
        <v>0.02551020408</v>
      </c>
      <c r="BM27" s="19">
        <v>1.0</v>
      </c>
      <c r="BN27" s="19">
        <v>38.0</v>
      </c>
      <c r="BO27" s="17">
        <f t="shared" si="13"/>
        <v>0.02631578947</v>
      </c>
      <c r="BP27" s="16">
        <v>5.0</v>
      </c>
      <c r="BQ27" s="16">
        <v>143.0</v>
      </c>
      <c r="BR27" s="17">
        <f t="shared" si="14"/>
        <v>0.03496503497</v>
      </c>
      <c r="BS27" s="16">
        <v>4.0</v>
      </c>
      <c r="BT27" s="16">
        <v>117.0</v>
      </c>
      <c r="BU27" s="17">
        <f t="shared" si="15"/>
        <v>0.03418803419</v>
      </c>
      <c r="BV27" s="18">
        <v>7.0</v>
      </c>
      <c r="BW27" s="18">
        <v>99.0</v>
      </c>
      <c r="BX27" s="17">
        <f t="shared" si="16"/>
        <v>0.07070707071</v>
      </c>
      <c r="BY27" s="16">
        <v>2.0</v>
      </c>
      <c r="BZ27" s="16">
        <v>97.0</v>
      </c>
      <c r="CA27" s="13">
        <f t="shared" si="59"/>
        <v>0.0206185567</v>
      </c>
      <c r="CB27" s="18">
        <v>1.0</v>
      </c>
      <c r="CC27" s="16">
        <v>47.0</v>
      </c>
      <c r="CD27" s="17">
        <f t="shared" si="17"/>
        <v>0.02127659574</v>
      </c>
      <c r="CE27" s="16">
        <v>6.0</v>
      </c>
      <c r="CF27" s="8">
        <v>411.0</v>
      </c>
      <c r="CG27" s="17">
        <f t="shared" si="18"/>
        <v>0.01459854015</v>
      </c>
      <c r="CH27" s="16">
        <v>0.0</v>
      </c>
      <c r="CI27" s="16">
        <v>8.0</v>
      </c>
      <c r="CJ27" s="17">
        <f t="shared" si="19"/>
        <v>0</v>
      </c>
      <c r="CK27" s="16">
        <v>6.0</v>
      </c>
      <c r="CL27" s="16">
        <v>98.0</v>
      </c>
      <c r="CM27" s="17">
        <f t="shared" si="20"/>
        <v>0.0612244898</v>
      </c>
      <c r="CN27" s="16">
        <v>4.0</v>
      </c>
      <c r="CO27" s="16">
        <v>83.0</v>
      </c>
      <c r="CP27" s="17">
        <f t="shared" si="21"/>
        <v>0.04819277108</v>
      </c>
      <c r="CQ27" s="16">
        <v>18.0</v>
      </c>
      <c r="CR27" s="16">
        <v>583.0</v>
      </c>
      <c r="CS27" s="17">
        <f t="shared" si="22"/>
        <v>0.03087478559</v>
      </c>
      <c r="CT27" s="16">
        <v>5.0</v>
      </c>
      <c r="CU27" s="16">
        <v>102.0</v>
      </c>
      <c r="CV27" s="17">
        <f t="shared" si="23"/>
        <v>0.04901960784</v>
      </c>
      <c r="CW27" s="16">
        <v>1.0</v>
      </c>
      <c r="CX27" s="16">
        <v>47.0</v>
      </c>
      <c r="CY27" s="17">
        <f t="shared" si="24"/>
        <v>0.02127659574</v>
      </c>
      <c r="CZ27" s="16">
        <v>15.0</v>
      </c>
      <c r="DA27" s="16">
        <v>135.0</v>
      </c>
      <c r="DB27" s="17">
        <f t="shared" si="56"/>
        <v>0.1111111111</v>
      </c>
      <c r="DC27" s="16">
        <v>4.0</v>
      </c>
      <c r="DD27" s="16">
        <v>57.0</v>
      </c>
      <c r="DE27" s="17">
        <f t="shared" si="25"/>
        <v>0.0701754386</v>
      </c>
      <c r="DF27" s="16">
        <v>4.0</v>
      </c>
      <c r="DG27" s="16">
        <v>85.0</v>
      </c>
      <c r="DH27" s="17">
        <f t="shared" si="62"/>
        <v>0.04705882353</v>
      </c>
      <c r="DI27" s="16">
        <v>18.0</v>
      </c>
      <c r="DJ27" s="16">
        <v>178.0</v>
      </c>
      <c r="DK27" s="17">
        <f t="shared" si="26"/>
        <v>0.1011235955</v>
      </c>
      <c r="DL27" s="16">
        <v>2.0</v>
      </c>
      <c r="DM27" s="16">
        <v>42.0</v>
      </c>
      <c r="DN27" s="17">
        <f t="shared" si="27"/>
        <v>0.04761904762</v>
      </c>
      <c r="DO27" s="16">
        <v>1.0</v>
      </c>
      <c r="DP27" s="16">
        <v>61.0</v>
      </c>
      <c r="DQ27" s="17">
        <f t="shared" si="28"/>
        <v>0.01639344262</v>
      </c>
      <c r="DR27" s="16">
        <v>5.0</v>
      </c>
      <c r="DS27" s="16">
        <v>83.0</v>
      </c>
      <c r="DT27" s="17">
        <f t="shared" si="29"/>
        <v>0.06024096386</v>
      </c>
      <c r="DU27" s="16">
        <v>26.0</v>
      </c>
      <c r="DV27" s="16">
        <v>298.0</v>
      </c>
      <c r="DW27" s="17">
        <f t="shared" si="57"/>
        <v>0.08724832215</v>
      </c>
      <c r="DX27" s="16">
        <v>1.0</v>
      </c>
      <c r="DY27" s="16">
        <v>11.0</v>
      </c>
      <c r="DZ27" s="17">
        <f t="shared" si="30"/>
        <v>0.09090909091</v>
      </c>
      <c r="EA27" s="22">
        <v>25.0</v>
      </c>
      <c r="EB27" s="16">
        <v>447.0</v>
      </c>
      <c r="EC27" s="17">
        <f t="shared" si="31"/>
        <v>0.05592841163</v>
      </c>
      <c r="ED27" s="16">
        <v>1.0</v>
      </c>
      <c r="EE27" s="16">
        <v>28.0</v>
      </c>
      <c r="EF27" s="17">
        <f t="shared" si="32"/>
        <v>0.03571428571</v>
      </c>
      <c r="EG27" s="8">
        <v>0.0</v>
      </c>
      <c r="EH27" s="16">
        <v>68.0</v>
      </c>
      <c r="EI27" s="17">
        <f t="shared" si="33"/>
        <v>0</v>
      </c>
      <c r="EJ27" s="16">
        <v>6.0</v>
      </c>
      <c r="EK27" s="16">
        <v>622.0</v>
      </c>
      <c r="EL27" s="17">
        <f t="shared" si="34"/>
        <v>0.009646302251</v>
      </c>
      <c r="EM27" s="16">
        <v>1.0</v>
      </c>
      <c r="EN27" s="16">
        <v>11.0</v>
      </c>
      <c r="EO27" s="17">
        <f t="shared" si="35"/>
        <v>0.09090909091</v>
      </c>
      <c r="EP27" s="16">
        <v>9.0</v>
      </c>
      <c r="EQ27" s="16">
        <v>273.0</v>
      </c>
      <c r="ER27" s="17">
        <f t="shared" si="60"/>
        <v>0.03296703297</v>
      </c>
      <c r="ES27" s="16">
        <v>1.0</v>
      </c>
      <c r="ET27" s="16">
        <v>81.0</v>
      </c>
      <c r="EU27" s="17">
        <f t="shared" si="36"/>
        <v>0.01234567901</v>
      </c>
      <c r="EV27" s="16"/>
      <c r="EW27" s="16">
        <v>63.0</v>
      </c>
      <c r="EX27" s="17"/>
      <c r="EY27" s="16">
        <v>481.0</v>
      </c>
      <c r="EZ27" s="16">
        <v>799.0</v>
      </c>
      <c r="FA27" s="17">
        <f t="shared" si="37"/>
        <v>0.6020025031</v>
      </c>
      <c r="FB27" s="16">
        <v>390.0</v>
      </c>
      <c r="FC27" s="16">
        <v>2308.0</v>
      </c>
      <c r="FD27" s="17">
        <f t="shared" si="38"/>
        <v>0.1860687023</v>
      </c>
      <c r="FE27" s="8">
        <v>10.0</v>
      </c>
      <c r="FF27" s="16">
        <v>157.0</v>
      </c>
      <c r="FG27" s="17">
        <f t="shared" si="39"/>
        <v>0.06369426752</v>
      </c>
      <c r="FH27" s="16">
        <v>5.0</v>
      </c>
      <c r="FI27" s="16">
        <v>88.0</v>
      </c>
      <c r="FJ27" s="17">
        <f t="shared" si="40"/>
        <v>0.05681818182</v>
      </c>
      <c r="FK27" s="16">
        <v>0.0</v>
      </c>
      <c r="FL27" s="16">
        <v>64.0</v>
      </c>
      <c r="FM27" s="17">
        <f t="shared" si="41"/>
        <v>0</v>
      </c>
      <c r="FN27" s="16">
        <v>10.0</v>
      </c>
      <c r="FO27" s="16">
        <v>127.0</v>
      </c>
      <c r="FP27" s="17">
        <f t="shared" si="42"/>
        <v>0.07874015748</v>
      </c>
      <c r="FQ27" s="16">
        <v>2.0</v>
      </c>
      <c r="FR27" s="16">
        <v>64.0</v>
      </c>
      <c r="FS27" s="17">
        <f t="shared" si="43"/>
        <v>0.03125</v>
      </c>
      <c r="FT27" s="16">
        <v>5.0</v>
      </c>
      <c r="FU27" s="16"/>
      <c r="FV27" s="16"/>
      <c r="FW27" s="16">
        <v>4.0</v>
      </c>
      <c r="FX27" s="16">
        <v>47.0</v>
      </c>
      <c r="FY27" s="17">
        <f t="shared" si="44"/>
        <v>0.08510638298</v>
      </c>
      <c r="FZ27" s="16">
        <v>3.0</v>
      </c>
      <c r="GA27" s="16"/>
      <c r="GB27" s="16"/>
      <c r="GC27" s="16">
        <v>2.0</v>
      </c>
      <c r="GD27" s="16">
        <v>115.0</v>
      </c>
      <c r="GE27" s="17">
        <f t="shared" si="45"/>
        <v>0.01739130435</v>
      </c>
      <c r="GF27" s="16">
        <v>4.0</v>
      </c>
      <c r="GG27" s="16">
        <v>155.0</v>
      </c>
      <c r="GH27" s="17">
        <f t="shared" si="46"/>
        <v>0.02580645161</v>
      </c>
      <c r="GI27" s="16">
        <v>65.0</v>
      </c>
      <c r="GJ27" s="16">
        <v>621.0</v>
      </c>
      <c r="GK27" s="17">
        <f t="shared" si="47"/>
        <v>0.1046698873</v>
      </c>
      <c r="GL27" s="16">
        <v>13.0</v>
      </c>
      <c r="GM27" s="16">
        <v>168.0</v>
      </c>
      <c r="GN27" s="17">
        <f t="shared" si="63"/>
        <v>0.07738095238</v>
      </c>
      <c r="GO27" s="16">
        <v>2.0</v>
      </c>
      <c r="GP27" s="16">
        <v>23.0</v>
      </c>
      <c r="GQ27" s="17">
        <f t="shared" si="49"/>
        <v>0.08695652174</v>
      </c>
      <c r="GR27" s="16">
        <v>6.0</v>
      </c>
      <c r="GS27" s="16">
        <v>66.0</v>
      </c>
      <c r="GT27" s="17">
        <f t="shared" si="50"/>
        <v>0.09090909091</v>
      </c>
      <c r="GU27" s="8">
        <v>3.0</v>
      </c>
      <c r="GV27" s="16">
        <v>27.0</v>
      </c>
      <c r="GW27" s="17">
        <f t="shared" si="51"/>
        <v>0.1111111111</v>
      </c>
      <c r="GX27" s="16">
        <v>27.0</v>
      </c>
      <c r="GY27" s="16">
        <v>633.0</v>
      </c>
      <c r="GZ27" s="16"/>
      <c r="HA27" s="16">
        <v>19.0</v>
      </c>
      <c r="HB27" s="16">
        <v>252.0</v>
      </c>
      <c r="HC27" s="17">
        <f t="shared" si="52"/>
        <v>0.0753968254</v>
      </c>
      <c r="HD27" s="16"/>
      <c r="HE27" s="16"/>
      <c r="HF27" s="16"/>
    </row>
    <row r="28" ht="15.75" customHeight="1">
      <c r="A28" s="1">
        <f t="shared" si="58"/>
        <v>44562</v>
      </c>
      <c r="B28" s="8">
        <v>327.0</v>
      </c>
      <c r="C28" s="23">
        <v>1161.0</v>
      </c>
      <c r="D28" s="9">
        <f t="shared" si="1"/>
        <v>0.2816537468</v>
      </c>
      <c r="E28" s="8">
        <v>8.0</v>
      </c>
      <c r="F28" s="8">
        <v>94.0</v>
      </c>
      <c r="G28" s="9">
        <f t="shared" si="2"/>
        <v>0.08510638298</v>
      </c>
      <c r="H28" s="8">
        <v>39.0</v>
      </c>
      <c r="I28" s="8">
        <v>1027.0</v>
      </c>
      <c r="J28" s="9">
        <f t="shared" si="3"/>
        <v>0.03797468354</v>
      </c>
      <c r="K28" s="8">
        <v>26.0</v>
      </c>
      <c r="L28" s="8">
        <v>256.0</v>
      </c>
      <c r="M28" s="9">
        <f t="shared" si="61"/>
        <v>0.1015625</v>
      </c>
      <c r="N28" s="8">
        <v>85.0</v>
      </c>
      <c r="O28" s="8">
        <v>1107.0</v>
      </c>
      <c r="P28" s="9">
        <f t="shared" si="4"/>
        <v>0.07678410117</v>
      </c>
      <c r="Q28" s="8">
        <v>5.0</v>
      </c>
      <c r="T28" s="8">
        <v>19.0</v>
      </c>
      <c r="U28" s="8">
        <v>374.0</v>
      </c>
      <c r="V28" s="9">
        <f t="shared" si="53"/>
        <v>0.05080213904</v>
      </c>
      <c r="W28" s="8">
        <v>17.0</v>
      </c>
      <c r="X28" s="8">
        <v>518.0</v>
      </c>
      <c r="Y28" s="9">
        <f t="shared" si="5"/>
        <v>0.03281853282</v>
      </c>
      <c r="Z28" s="8">
        <v>4.0</v>
      </c>
      <c r="AA28" s="8">
        <v>300.0</v>
      </c>
      <c r="AB28" s="9">
        <f t="shared" si="54"/>
        <v>0.01333333333</v>
      </c>
      <c r="AC28" s="8">
        <v>31.0</v>
      </c>
      <c r="AD28" s="8">
        <v>1172.0</v>
      </c>
      <c r="AE28" s="9">
        <f t="shared" si="55"/>
        <v>0.02645051195</v>
      </c>
      <c r="AF28" s="8">
        <v>16.0</v>
      </c>
      <c r="AG28" s="8">
        <v>395.0</v>
      </c>
      <c r="AH28" s="9">
        <f t="shared" si="6"/>
        <v>0.04050632911</v>
      </c>
      <c r="AI28" s="10">
        <v>12.0</v>
      </c>
      <c r="AJ28" s="8">
        <v>331.0</v>
      </c>
      <c r="AK28" s="9">
        <f t="shared" si="7"/>
        <v>0.03625377644</v>
      </c>
      <c r="AL28" s="16">
        <v>13.0</v>
      </c>
      <c r="AM28" s="16">
        <v>275.0</v>
      </c>
      <c r="AN28" s="17">
        <f t="shared" si="8"/>
        <v>0.04727272727</v>
      </c>
      <c r="AO28" s="18">
        <v>5.0</v>
      </c>
      <c r="AP28" s="18">
        <v>121.0</v>
      </c>
      <c r="AQ28" s="17">
        <f t="shared" si="9"/>
        <v>0.04132231405</v>
      </c>
      <c r="AR28" s="16"/>
      <c r="AS28" s="16">
        <v>99.0</v>
      </c>
      <c r="AT28" s="17"/>
      <c r="AU28" s="16">
        <v>41.0</v>
      </c>
      <c r="AV28" s="16">
        <v>577.0</v>
      </c>
      <c r="AW28" s="16"/>
      <c r="AX28" s="21" t="s">
        <v>74</v>
      </c>
      <c r="AY28" s="21" t="s">
        <v>93</v>
      </c>
      <c r="AZ28" s="17">
        <f t="shared" si="10"/>
        <v>0.05084745763</v>
      </c>
      <c r="BA28" s="16">
        <v>4.0</v>
      </c>
      <c r="BB28" s="16">
        <v>65.0</v>
      </c>
      <c r="BC28" s="17">
        <f t="shared" si="11"/>
        <v>0.06153846154</v>
      </c>
      <c r="BD28" s="16"/>
      <c r="BE28" s="16">
        <v>9.0</v>
      </c>
      <c r="BF28" s="16"/>
      <c r="BG28" s="16"/>
      <c r="BH28" s="18">
        <v>66.0</v>
      </c>
      <c r="BI28" s="16"/>
      <c r="BJ28" s="18">
        <v>5.0</v>
      </c>
      <c r="BK28" s="18">
        <v>239.0</v>
      </c>
      <c r="BL28" s="17">
        <f t="shared" si="12"/>
        <v>0.02092050209</v>
      </c>
      <c r="BM28" s="19">
        <v>0.0</v>
      </c>
      <c r="BN28" s="19">
        <v>44.0</v>
      </c>
      <c r="BO28" s="17">
        <f t="shared" si="13"/>
        <v>0</v>
      </c>
      <c r="BP28" s="16">
        <v>11.0</v>
      </c>
      <c r="BQ28" s="16">
        <v>105.0</v>
      </c>
      <c r="BR28" s="17">
        <f t="shared" si="14"/>
        <v>0.1047619048</v>
      </c>
      <c r="BS28" s="16">
        <v>6.0</v>
      </c>
      <c r="BT28" s="16">
        <v>141.0</v>
      </c>
      <c r="BU28" s="17">
        <f t="shared" si="15"/>
        <v>0.04255319149</v>
      </c>
      <c r="BV28" s="18">
        <v>2.0</v>
      </c>
      <c r="BW28" s="18">
        <v>100.0</v>
      </c>
      <c r="BX28" s="17">
        <f t="shared" si="16"/>
        <v>0.02</v>
      </c>
      <c r="BY28" s="16">
        <v>2.0</v>
      </c>
      <c r="BZ28" s="16">
        <v>87.0</v>
      </c>
      <c r="CA28" s="13">
        <f t="shared" si="59"/>
        <v>0.02298850575</v>
      </c>
      <c r="CB28" s="18">
        <v>0.0</v>
      </c>
      <c r="CC28" s="8">
        <v>55.0</v>
      </c>
      <c r="CD28" s="17">
        <f t="shared" si="17"/>
        <v>0</v>
      </c>
      <c r="CE28" s="16">
        <v>7.0</v>
      </c>
      <c r="CF28" s="8">
        <v>366.0</v>
      </c>
      <c r="CG28" s="17">
        <f t="shared" si="18"/>
        <v>0.01912568306</v>
      </c>
      <c r="CH28" s="16">
        <v>0.0</v>
      </c>
      <c r="CI28" s="16">
        <v>11.0</v>
      </c>
      <c r="CJ28" s="17">
        <f t="shared" si="19"/>
        <v>0</v>
      </c>
      <c r="CK28" s="16">
        <v>3.0</v>
      </c>
      <c r="CL28" s="16">
        <v>89.0</v>
      </c>
      <c r="CM28" s="17">
        <f t="shared" si="20"/>
        <v>0.03370786517</v>
      </c>
      <c r="CN28" s="16">
        <v>1.0</v>
      </c>
      <c r="CO28" s="16">
        <v>77.0</v>
      </c>
      <c r="CP28" s="17">
        <f t="shared" si="21"/>
        <v>0.01298701299</v>
      </c>
      <c r="CQ28" s="16">
        <v>20.0</v>
      </c>
      <c r="CR28" s="16">
        <v>541.0</v>
      </c>
      <c r="CS28" s="17">
        <f t="shared" si="22"/>
        <v>0.03696857671</v>
      </c>
      <c r="CT28" s="16">
        <v>2.0</v>
      </c>
      <c r="CU28" s="16">
        <v>107.0</v>
      </c>
      <c r="CV28" s="17">
        <f t="shared" si="23"/>
        <v>0.01869158879</v>
      </c>
      <c r="CW28" s="16">
        <v>4.0</v>
      </c>
      <c r="CX28" s="16">
        <v>55.0</v>
      </c>
      <c r="CY28" s="17">
        <f t="shared" si="24"/>
        <v>0.07272727273</v>
      </c>
      <c r="CZ28" s="16">
        <v>18.0</v>
      </c>
      <c r="DA28" s="16">
        <v>125.0</v>
      </c>
      <c r="DB28" s="17">
        <f t="shared" si="56"/>
        <v>0.144</v>
      </c>
      <c r="DC28" s="16">
        <v>4.0</v>
      </c>
      <c r="DD28" s="16">
        <v>76.0</v>
      </c>
      <c r="DE28" s="17">
        <f t="shared" si="25"/>
        <v>0.05263157895</v>
      </c>
      <c r="DF28" s="16">
        <v>2.0</v>
      </c>
      <c r="DG28" s="16">
        <v>54.0</v>
      </c>
      <c r="DH28" s="17">
        <f t="shared" si="62"/>
        <v>0.03703703704</v>
      </c>
      <c r="DI28" s="16">
        <v>11.0</v>
      </c>
      <c r="DJ28" s="16">
        <v>203.0</v>
      </c>
      <c r="DK28" s="17">
        <f t="shared" si="26"/>
        <v>0.05418719212</v>
      </c>
      <c r="DL28" s="16">
        <v>0.0</v>
      </c>
      <c r="DM28" s="16">
        <v>32.0</v>
      </c>
      <c r="DN28" s="17">
        <f t="shared" si="27"/>
        <v>0</v>
      </c>
      <c r="DO28" s="16">
        <v>1.0</v>
      </c>
      <c r="DP28" s="16">
        <v>91.0</v>
      </c>
      <c r="DQ28" s="17">
        <f t="shared" si="28"/>
        <v>0.01098901099</v>
      </c>
      <c r="DR28" s="16">
        <v>17.0</v>
      </c>
      <c r="DS28" s="16">
        <v>118.0</v>
      </c>
      <c r="DT28" s="17">
        <f t="shared" si="29"/>
        <v>0.1440677966</v>
      </c>
      <c r="DU28" s="16">
        <v>21.0</v>
      </c>
      <c r="DV28" s="16">
        <v>316.0</v>
      </c>
      <c r="DW28" s="17">
        <f t="shared" si="57"/>
        <v>0.0664556962</v>
      </c>
      <c r="DX28" s="16">
        <v>1.0</v>
      </c>
      <c r="DY28" s="16">
        <v>12.0</v>
      </c>
      <c r="DZ28" s="17">
        <f t="shared" si="30"/>
        <v>0.08333333333</v>
      </c>
      <c r="EA28" s="22">
        <v>14.0</v>
      </c>
      <c r="EB28" s="16">
        <v>431.0</v>
      </c>
      <c r="EC28" s="17">
        <f t="shared" si="31"/>
        <v>0.03248259861</v>
      </c>
      <c r="ED28" s="16">
        <v>0.0</v>
      </c>
      <c r="EE28" s="16">
        <v>38.0</v>
      </c>
      <c r="EF28" s="17">
        <f t="shared" si="32"/>
        <v>0</v>
      </c>
      <c r="EG28" s="16">
        <v>2.0</v>
      </c>
      <c r="EH28" s="16">
        <v>72.0</v>
      </c>
      <c r="EI28" s="17">
        <f t="shared" si="33"/>
        <v>0.02777777778</v>
      </c>
      <c r="EJ28" s="16">
        <v>10.0</v>
      </c>
      <c r="EK28" s="16">
        <v>675.0</v>
      </c>
      <c r="EL28" s="17">
        <f t="shared" si="34"/>
        <v>0.01481481481</v>
      </c>
      <c r="EM28" s="16">
        <v>3.0</v>
      </c>
      <c r="EN28" s="16">
        <v>17.0</v>
      </c>
      <c r="EO28" s="17">
        <f t="shared" si="35"/>
        <v>0.1764705882</v>
      </c>
      <c r="EP28" s="16">
        <v>11.0</v>
      </c>
      <c r="EQ28" s="16">
        <v>252.0</v>
      </c>
      <c r="ER28" s="17">
        <f t="shared" si="60"/>
        <v>0.04365079365</v>
      </c>
      <c r="ES28" s="16">
        <v>6.0</v>
      </c>
      <c r="ET28" s="16">
        <v>104.0</v>
      </c>
      <c r="EU28" s="17">
        <f t="shared" si="36"/>
        <v>0.05769230769</v>
      </c>
      <c r="EV28" s="16">
        <v>3.0</v>
      </c>
      <c r="EW28" s="16">
        <v>52.0</v>
      </c>
      <c r="EX28" s="17">
        <f t="shared" ref="EX28:EX46" si="64">EV28/EW28</f>
        <v>0.05769230769</v>
      </c>
      <c r="EY28" s="16">
        <v>420.0</v>
      </c>
      <c r="EZ28" s="16">
        <v>830.0</v>
      </c>
      <c r="FA28" s="17">
        <f t="shared" si="37"/>
        <v>0.5060240964</v>
      </c>
      <c r="FB28" s="16">
        <v>340.0</v>
      </c>
      <c r="FC28" s="16">
        <v>2096.0</v>
      </c>
      <c r="FD28" s="17">
        <f t="shared" si="38"/>
        <v>0.1784776903</v>
      </c>
      <c r="FE28" s="8">
        <v>13.0</v>
      </c>
      <c r="FF28" s="16">
        <v>149.0</v>
      </c>
      <c r="FG28" s="17">
        <f t="shared" si="39"/>
        <v>0.08724832215</v>
      </c>
      <c r="FH28" s="16">
        <v>4.0</v>
      </c>
      <c r="FI28" s="16">
        <v>91.0</v>
      </c>
      <c r="FJ28" s="17">
        <f t="shared" si="40"/>
        <v>0.04395604396</v>
      </c>
      <c r="FK28" s="16">
        <v>3.0</v>
      </c>
      <c r="FL28" s="16">
        <v>97.0</v>
      </c>
      <c r="FM28" s="17">
        <f t="shared" si="41"/>
        <v>0.03092783505</v>
      </c>
      <c r="FN28" s="16">
        <v>8.0</v>
      </c>
      <c r="FO28" s="16">
        <v>105.0</v>
      </c>
      <c r="FP28" s="17">
        <f t="shared" si="42"/>
        <v>0.07619047619</v>
      </c>
      <c r="FQ28" s="16">
        <v>5.0</v>
      </c>
      <c r="FR28" s="16">
        <v>54.0</v>
      </c>
      <c r="FS28" s="17">
        <f t="shared" si="43"/>
        <v>0.09259259259</v>
      </c>
      <c r="FT28" s="16">
        <v>10.0</v>
      </c>
      <c r="FU28" s="16"/>
      <c r="FV28" s="16"/>
      <c r="FW28" s="16">
        <v>4.0</v>
      </c>
      <c r="FX28" s="16">
        <v>43.0</v>
      </c>
      <c r="FY28" s="17">
        <f t="shared" si="44"/>
        <v>0.09302325581</v>
      </c>
      <c r="FZ28" s="16">
        <v>5.0</v>
      </c>
      <c r="GA28" s="16"/>
      <c r="GB28" s="16"/>
      <c r="GC28" s="16">
        <v>3.0</v>
      </c>
      <c r="GD28" s="16">
        <v>132.0</v>
      </c>
      <c r="GE28" s="17">
        <f t="shared" si="45"/>
        <v>0.02272727273</v>
      </c>
      <c r="GF28" s="16">
        <v>2.0</v>
      </c>
      <c r="GG28" s="16">
        <v>170.0</v>
      </c>
      <c r="GH28" s="17">
        <f t="shared" si="46"/>
        <v>0.01176470588</v>
      </c>
      <c r="GI28" s="16">
        <v>35.0</v>
      </c>
      <c r="GJ28" s="16">
        <v>564.0</v>
      </c>
      <c r="GK28" s="17">
        <f t="shared" si="47"/>
        <v>0.06205673759</v>
      </c>
      <c r="GL28" s="16">
        <v>8.0</v>
      </c>
      <c r="GM28" s="16">
        <v>148.0</v>
      </c>
      <c r="GN28" s="17">
        <f t="shared" si="63"/>
        <v>0.05405405405</v>
      </c>
      <c r="GO28" s="16">
        <v>2.0</v>
      </c>
      <c r="GP28" s="16">
        <v>26.0</v>
      </c>
      <c r="GQ28" s="17">
        <f t="shared" si="49"/>
        <v>0.07692307692</v>
      </c>
      <c r="GR28" s="16">
        <v>2.0</v>
      </c>
      <c r="GS28" s="16">
        <v>43.0</v>
      </c>
      <c r="GT28" s="17">
        <f t="shared" si="50"/>
        <v>0.04651162791</v>
      </c>
      <c r="GU28" s="8">
        <v>2.0</v>
      </c>
      <c r="GV28" s="16">
        <v>30.0</v>
      </c>
      <c r="GW28" s="17">
        <f t="shared" si="51"/>
        <v>0.06666666667</v>
      </c>
      <c r="GX28" s="16">
        <v>34.0</v>
      </c>
      <c r="GY28" s="16">
        <v>719.0</v>
      </c>
      <c r="GZ28" s="16"/>
      <c r="HA28" s="16">
        <v>25.0</v>
      </c>
      <c r="HB28" s="16">
        <v>284.0</v>
      </c>
      <c r="HC28" s="17">
        <f t="shared" si="52"/>
        <v>0.08802816901</v>
      </c>
      <c r="HD28" s="16"/>
      <c r="HE28" s="16"/>
      <c r="HF28" s="16"/>
    </row>
    <row r="29" ht="15.75" customHeight="1">
      <c r="A29" s="1">
        <f t="shared" si="58"/>
        <v>44593</v>
      </c>
      <c r="B29" s="8">
        <v>361.0</v>
      </c>
      <c r="C29" s="23">
        <v>1221.0</v>
      </c>
      <c r="D29" s="9">
        <f t="shared" si="1"/>
        <v>0.2956592957</v>
      </c>
      <c r="E29" s="8">
        <v>6.0</v>
      </c>
      <c r="F29" s="8">
        <v>104.0</v>
      </c>
      <c r="G29" s="9">
        <f t="shared" si="2"/>
        <v>0.05769230769</v>
      </c>
      <c r="H29" s="8">
        <v>29.0</v>
      </c>
      <c r="I29" s="8">
        <v>803.0</v>
      </c>
      <c r="J29" s="9">
        <f t="shared" si="3"/>
        <v>0.03611457036</v>
      </c>
      <c r="K29" s="8">
        <v>16.0</v>
      </c>
      <c r="L29" s="8">
        <v>218.0</v>
      </c>
      <c r="M29" s="9">
        <f t="shared" si="61"/>
        <v>0.07339449541</v>
      </c>
      <c r="N29" s="8">
        <v>61.0</v>
      </c>
      <c r="O29" s="8">
        <v>963.0</v>
      </c>
      <c r="P29" s="9">
        <f t="shared" si="4"/>
        <v>0.06334371755</v>
      </c>
      <c r="Q29" s="8">
        <v>10.0</v>
      </c>
      <c r="T29" s="8">
        <v>22.0</v>
      </c>
      <c r="U29" s="8">
        <v>311.0</v>
      </c>
      <c r="V29" s="9">
        <f t="shared" si="53"/>
        <v>0.07073954984</v>
      </c>
      <c r="W29" s="8">
        <v>23.0</v>
      </c>
      <c r="X29" s="8">
        <v>474.0</v>
      </c>
      <c r="Y29" s="9">
        <f t="shared" si="5"/>
        <v>0.04852320675</v>
      </c>
      <c r="Z29" s="8">
        <v>8.0</v>
      </c>
      <c r="AA29" s="8">
        <v>286.0</v>
      </c>
      <c r="AB29" s="9">
        <f t="shared" si="54"/>
        <v>0.02797202797</v>
      </c>
      <c r="AC29" s="8">
        <v>31.0</v>
      </c>
      <c r="AD29" s="8">
        <v>885.0</v>
      </c>
      <c r="AE29" s="9">
        <f t="shared" si="55"/>
        <v>0.03502824859</v>
      </c>
      <c r="AF29" s="8">
        <v>7.0</v>
      </c>
      <c r="AG29" s="8">
        <v>314.0</v>
      </c>
      <c r="AH29" s="9">
        <f t="shared" si="6"/>
        <v>0.02229299363</v>
      </c>
      <c r="AI29" s="10">
        <v>10.0</v>
      </c>
      <c r="AJ29" s="8">
        <v>273.0</v>
      </c>
      <c r="AK29" s="9">
        <f t="shared" si="7"/>
        <v>0.03663003663</v>
      </c>
      <c r="AL29" s="16">
        <v>29.0</v>
      </c>
      <c r="AM29" s="16">
        <v>305.0</v>
      </c>
      <c r="AN29" s="17">
        <f t="shared" si="8"/>
        <v>0.09508196721</v>
      </c>
      <c r="AO29" s="18">
        <v>8.0</v>
      </c>
      <c r="AP29" s="18">
        <v>115.0</v>
      </c>
      <c r="AQ29" s="17">
        <f t="shared" si="9"/>
        <v>0.06956521739</v>
      </c>
      <c r="AR29" s="16">
        <v>2.0</v>
      </c>
      <c r="AS29" s="16">
        <v>82.0</v>
      </c>
      <c r="AT29" s="17">
        <f t="shared" ref="AT29:AT47" si="65">AR29/AS29</f>
        <v>0.0243902439</v>
      </c>
      <c r="AU29" s="16">
        <v>47.0</v>
      </c>
      <c r="AV29" s="16">
        <v>596.0</v>
      </c>
      <c r="AW29" s="17"/>
      <c r="AX29" s="21" t="s">
        <v>74</v>
      </c>
      <c r="AY29" s="21" t="s">
        <v>94</v>
      </c>
      <c r="AZ29" s="17">
        <f t="shared" si="10"/>
        <v>0.0652173913</v>
      </c>
      <c r="BA29" s="16">
        <v>6.0</v>
      </c>
      <c r="BB29" s="16">
        <v>55.0</v>
      </c>
      <c r="BC29" s="17">
        <f t="shared" si="11"/>
        <v>0.1090909091</v>
      </c>
      <c r="BD29" s="17"/>
      <c r="BE29" s="16">
        <v>6.0</v>
      </c>
      <c r="BF29" s="17"/>
      <c r="BG29" s="17"/>
      <c r="BH29" s="18">
        <v>67.0</v>
      </c>
      <c r="BI29" s="17"/>
      <c r="BJ29" s="18">
        <v>5.0</v>
      </c>
      <c r="BK29" s="18">
        <v>170.0</v>
      </c>
      <c r="BL29" s="17">
        <f t="shared" si="12"/>
        <v>0.02941176471</v>
      </c>
      <c r="BM29" s="19">
        <v>0.0</v>
      </c>
      <c r="BN29" s="19">
        <v>25.0</v>
      </c>
      <c r="BO29" s="17">
        <f t="shared" si="13"/>
        <v>0</v>
      </c>
      <c r="BP29" s="16">
        <v>5.0</v>
      </c>
      <c r="BQ29" s="16">
        <v>103.0</v>
      </c>
      <c r="BR29" s="17">
        <f t="shared" si="14"/>
        <v>0.04854368932</v>
      </c>
      <c r="BS29" s="16">
        <v>5.0</v>
      </c>
      <c r="BT29" s="16">
        <v>100.0</v>
      </c>
      <c r="BU29" s="17">
        <f t="shared" si="15"/>
        <v>0.05</v>
      </c>
      <c r="BV29" s="18">
        <v>1.0</v>
      </c>
      <c r="BW29" s="18">
        <v>101.0</v>
      </c>
      <c r="BX29" s="17">
        <f t="shared" si="16"/>
        <v>0.009900990099</v>
      </c>
      <c r="BY29" s="16">
        <v>1.0</v>
      </c>
      <c r="BZ29" s="16">
        <v>82.0</v>
      </c>
      <c r="CA29" s="13">
        <f t="shared" si="59"/>
        <v>0.01219512195</v>
      </c>
      <c r="CB29" s="18">
        <v>2.0</v>
      </c>
      <c r="CC29" s="8">
        <v>42.0</v>
      </c>
      <c r="CD29" s="17">
        <f t="shared" si="17"/>
        <v>0.04761904762</v>
      </c>
      <c r="CE29" s="16">
        <v>12.0</v>
      </c>
      <c r="CF29" s="8">
        <v>403.0</v>
      </c>
      <c r="CG29" s="17">
        <f t="shared" si="18"/>
        <v>0.02977667494</v>
      </c>
      <c r="CH29" s="16">
        <v>0.0</v>
      </c>
      <c r="CI29" s="16">
        <v>13.0</v>
      </c>
      <c r="CJ29" s="17">
        <f t="shared" si="19"/>
        <v>0</v>
      </c>
      <c r="CK29" s="16">
        <v>4.0</v>
      </c>
      <c r="CL29" s="16">
        <v>69.0</v>
      </c>
      <c r="CM29" s="17">
        <f t="shared" si="20"/>
        <v>0.05797101449</v>
      </c>
      <c r="CN29" s="16">
        <v>0.0</v>
      </c>
      <c r="CO29" s="16">
        <v>67.0</v>
      </c>
      <c r="CP29" s="17">
        <f t="shared" si="21"/>
        <v>0</v>
      </c>
      <c r="CQ29" s="16">
        <v>11.0</v>
      </c>
      <c r="CR29" s="16">
        <v>435.0</v>
      </c>
      <c r="CS29" s="17">
        <f t="shared" si="22"/>
        <v>0.02528735632</v>
      </c>
      <c r="CT29" s="16">
        <v>5.0</v>
      </c>
      <c r="CU29" s="16">
        <v>88.0</v>
      </c>
      <c r="CV29" s="17">
        <f t="shared" si="23"/>
        <v>0.05681818182</v>
      </c>
      <c r="CW29" s="16">
        <v>2.0</v>
      </c>
      <c r="CX29" s="16">
        <v>42.0</v>
      </c>
      <c r="CY29" s="17">
        <f t="shared" si="24"/>
        <v>0.04761904762</v>
      </c>
      <c r="CZ29" s="16">
        <v>9.0</v>
      </c>
      <c r="DA29" s="16">
        <v>110.0</v>
      </c>
      <c r="DB29" s="17">
        <f t="shared" si="56"/>
        <v>0.08181818182</v>
      </c>
      <c r="DC29" s="16">
        <v>9.0</v>
      </c>
      <c r="DD29" s="16">
        <v>64.0</v>
      </c>
      <c r="DE29" s="17">
        <f t="shared" si="25"/>
        <v>0.140625</v>
      </c>
      <c r="DF29" s="16">
        <v>4.0</v>
      </c>
      <c r="DG29" s="16">
        <v>57.0</v>
      </c>
      <c r="DH29" s="17">
        <f t="shared" si="62"/>
        <v>0.0701754386</v>
      </c>
      <c r="DI29" s="16">
        <v>5.0</v>
      </c>
      <c r="DJ29" s="16">
        <v>180.0</v>
      </c>
      <c r="DK29" s="17">
        <f t="shared" si="26"/>
        <v>0.02777777778</v>
      </c>
      <c r="DL29" s="16">
        <v>2.0</v>
      </c>
      <c r="DM29" s="16">
        <v>26.0</v>
      </c>
      <c r="DN29" s="17">
        <f t="shared" si="27"/>
        <v>0.07692307692</v>
      </c>
      <c r="DO29" s="16">
        <v>4.0</v>
      </c>
      <c r="DP29" s="16">
        <v>79.0</v>
      </c>
      <c r="DQ29" s="17">
        <f t="shared" si="28"/>
        <v>0.05063291139</v>
      </c>
      <c r="DR29" s="16">
        <v>7.0</v>
      </c>
      <c r="DS29" s="16">
        <v>89.0</v>
      </c>
      <c r="DT29" s="17">
        <f t="shared" si="29"/>
        <v>0.07865168539</v>
      </c>
      <c r="DU29" s="16">
        <v>17.0</v>
      </c>
      <c r="DV29" s="16">
        <v>232.0</v>
      </c>
      <c r="DW29" s="17">
        <f t="shared" si="57"/>
        <v>0.07327586207</v>
      </c>
      <c r="DX29" s="16">
        <v>1.0</v>
      </c>
      <c r="DY29" s="16">
        <v>13.0</v>
      </c>
      <c r="DZ29" s="17">
        <f t="shared" si="30"/>
        <v>0.07692307692</v>
      </c>
      <c r="EA29" s="22">
        <v>22.0</v>
      </c>
      <c r="EB29" s="16">
        <v>415.0</v>
      </c>
      <c r="EC29" s="17">
        <f t="shared" si="31"/>
        <v>0.05301204819</v>
      </c>
      <c r="ED29" s="16">
        <v>3.0</v>
      </c>
      <c r="EE29" s="16">
        <v>36.0</v>
      </c>
      <c r="EF29" s="17">
        <f t="shared" si="32"/>
        <v>0.08333333333</v>
      </c>
      <c r="EG29" s="16">
        <v>3.0</v>
      </c>
      <c r="EH29" s="16">
        <v>62.0</v>
      </c>
      <c r="EI29" s="17">
        <f t="shared" si="33"/>
        <v>0.04838709677</v>
      </c>
      <c r="EJ29" s="16">
        <v>9.0</v>
      </c>
      <c r="EK29" s="16">
        <v>526.0</v>
      </c>
      <c r="EL29" s="17">
        <f t="shared" si="34"/>
        <v>0.01711026616</v>
      </c>
      <c r="EM29" s="16">
        <v>1.0</v>
      </c>
      <c r="EN29" s="16">
        <v>7.0</v>
      </c>
      <c r="EO29" s="17">
        <f t="shared" si="35"/>
        <v>0.1428571429</v>
      </c>
      <c r="EP29" s="16">
        <v>8.0</v>
      </c>
      <c r="EQ29" s="16">
        <v>249.0</v>
      </c>
      <c r="ER29" s="17">
        <f t="shared" si="60"/>
        <v>0.03212851406</v>
      </c>
      <c r="ES29" s="16">
        <v>2.0</v>
      </c>
      <c r="ET29" s="16">
        <v>88.0</v>
      </c>
      <c r="EU29" s="17">
        <f t="shared" si="36"/>
        <v>0.02272727273</v>
      </c>
      <c r="EV29" s="16">
        <v>7.0</v>
      </c>
      <c r="EW29" s="16">
        <v>63.0</v>
      </c>
      <c r="EX29" s="17">
        <f t="shared" si="64"/>
        <v>0.1111111111</v>
      </c>
      <c r="EY29" s="16">
        <v>362.0</v>
      </c>
      <c r="EZ29" s="16">
        <v>648.0</v>
      </c>
      <c r="FA29" s="17">
        <f t="shared" si="37"/>
        <v>0.5586419753</v>
      </c>
      <c r="FB29" s="16">
        <v>320.0</v>
      </c>
      <c r="FC29" s="16">
        <v>1905.0</v>
      </c>
      <c r="FD29" s="17">
        <f t="shared" si="38"/>
        <v>0.1504466385</v>
      </c>
      <c r="FE29" s="8">
        <v>13.0</v>
      </c>
      <c r="FF29" s="16">
        <v>138.0</v>
      </c>
      <c r="FG29" s="17">
        <f t="shared" si="39"/>
        <v>0.09420289855</v>
      </c>
      <c r="FH29" s="16">
        <v>11.0</v>
      </c>
      <c r="FI29" s="16">
        <v>81.0</v>
      </c>
      <c r="FJ29" s="17">
        <f t="shared" si="40"/>
        <v>0.1358024691</v>
      </c>
      <c r="FK29" s="16">
        <v>0.0</v>
      </c>
      <c r="FL29" s="16">
        <v>71.0</v>
      </c>
      <c r="FM29" s="17">
        <f t="shared" si="41"/>
        <v>0</v>
      </c>
      <c r="FN29" s="16">
        <v>6.0</v>
      </c>
      <c r="FO29" s="16">
        <v>96.0</v>
      </c>
      <c r="FP29" s="17">
        <f t="shared" si="42"/>
        <v>0.0625</v>
      </c>
      <c r="FQ29" s="16">
        <v>5.0</v>
      </c>
      <c r="FR29" s="16">
        <v>67.0</v>
      </c>
      <c r="FS29" s="17">
        <f t="shared" si="43"/>
        <v>0.07462686567</v>
      </c>
      <c r="FT29" s="16">
        <v>13.0</v>
      </c>
      <c r="FU29" s="16"/>
      <c r="FV29" s="16"/>
      <c r="FW29" s="16">
        <v>5.0</v>
      </c>
      <c r="FX29" s="16">
        <v>42.0</v>
      </c>
      <c r="FY29" s="17">
        <f t="shared" si="44"/>
        <v>0.119047619</v>
      </c>
      <c r="FZ29" s="16">
        <v>5.0</v>
      </c>
      <c r="GA29" s="16"/>
      <c r="GB29" s="16"/>
      <c r="GC29" s="16">
        <v>3.0</v>
      </c>
      <c r="GD29" s="16">
        <v>158.0</v>
      </c>
      <c r="GE29" s="17">
        <f t="shared" si="45"/>
        <v>0.01898734177</v>
      </c>
      <c r="GF29" s="16">
        <v>5.0</v>
      </c>
      <c r="GG29" s="16">
        <v>159.0</v>
      </c>
      <c r="GH29" s="17">
        <f t="shared" si="46"/>
        <v>0.03144654088</v>
      </c>
      <c r="GI29" s="16">
        <v>31.0</v>
      </c>
      <c r="GJ29" s="16">
        <v>531.0</v>
      </c>
      <c r="GK29" s="17">
        <f t="shared" si="47"/>
        <v>0.05838041431</v>
      </c>
      <c r="GL29" s="16">
        <v>19.0</v>
      </c>
      <c r="GM29" s="16">
        <v>156.0</v>
      </c>
      <c r="GN29" s="17">
        <f t="shared" si="63"/>
        <v>0.1217948718</v>
      </c>
      <c r="GO29" s="16">
        <v>4.0</v>
      </c>
      <c r="GP29" s="16">
        <v>17.0</v>
      </c>
      <c r="GQ29" s="17">
        <f t="shared" si="49"/>
        <v>0.2352941176</v>
      </c>
      <c r="GR29" s="16">
        <v>4.0</v>
      </c>
      <c r="GS29" s="16">
        <v>61.0</v>
      </c>
      <c r="GT29" s="17">
        <f t="shared" si="50"/>
        <v>0.06557377049</v>
      </c>
      <c r="GU29" s="8">
        <v>0.0</v>
      </c>
      <c r="GV29" s="16">
        <v>21.0</v>
      </c>
      <c r="GW29" s="17">
        <f t="shared" si="51"/>
        <v>0</v>
      </c>
      <c r="GX29" s="16">
        <v>41.0</v>
      </c>
      <c r="GY29" s="16">
        <v>592.0</v>
      </c>
      <c r="GZ29" s="16"/>
      <c r="HA29" s="16">
        <v>17.0</v>
      </c>
      <c r="HB29" s="16">
        <v>215.0</v>
      </c>
      <c r="HC29" s="17">
        <f t="shared" si="52"/>
        <v>0.07906976744</v>
      </c>
      <c r="HD29" s="16"/>
      <c r="HE29" s="16"/>
      <c r="HF29" s="16"/>
    </row>
    <row r="30" ht="15.75" customHeight="1">
      <c r="A30" s="1">
        <f t="shared" si="58"/>
        <v>44621</v>
      </c>
      <c r="B30" s="8">
        <v>427.0</v>
      </c>
      <c r="C30" s="23">
        <v>1301.0</v>
      </c>
      <c r="D30" s="9">
        <f t="shared" si="1"/>
        <v>0.3282090699</v>
      </c>
      <c r="E30" s="8">
        <v>5.0</v>
      </c>
      <c r="F30" s="8">
        <v>133.0</v>
      </c>
      <c r="G30" s="9">
        <f t="shared" si="2"/>
        <v>0.03759398496</v>
      </c>
      <c r="H30" s="8">
        <v>32.0</v>
      </c>
      <c r="I30" s="8">
        <v>1040.0</v>
      </c>
      <c r="J30" s="9">
        <f t="shared" si="3"/>
        <v>0.03076923077</v>
      </c>
      <c r="K30" s="8">
        <v>12.0</v>
      </c>
      <c r="L30" s="8">
        <v>223.0</v>
      </c>
      <c r="M30" s="9">
        <f t="shared" si="61"/>
        <v>0.05381165919</v>
      </c>
      <c r="N30" s="8">
        <v>65.0</v>
      </c>
      <c r="O30" s="8">
        <v>1073.0</v>
      </c>
      <c r="P30" s="9">
        <f t="shared" si="4"/>
        <v>0.0605778192</v>
      </c>
      <c r="Q30" s="8">
        <v>6.0</v>
      </c>
      <c r="T30" s="8">
        <v>20.0</v>
      </c>
      <c r="U30" s="8">
        <v>359.0</v>
      </c>
      <c r="V30" s="9">
        <f t="shared" si="53"/>
        <v>0.05571030641</v>
      </c>
      <c r="W30" s="8">
        <v>17.0</v>
      </c>
      <c r="X30" s="8">
        <v>503.0</v>
      </c>
      <c r="Y30" s="9">
        <f t="shared" si="5"/>
        <v>0.0337972167</v>
      </c>
      <c r="Z30" s="8">
        <v>15.0</v>
      </c>
      <c r="AA30" s="8">
        <v>287.0</v>
      </c>
      <c r="AB30" s="9">
        <f t="shared" si="54"/>
        <v>0.05226480836</v>
      </c>
      <c r="AC30" s="8">
        <v>29.0</v>
      </c>
      <c r="AD30" s="8">
        <v>1127.0</v>
      </c>
      <c r="AE30" s="9">
        <f t="shared" si="55"/>
        <v>0.02573203194</v>
      </c>
      <c r="AF30" s="8">
        <v>6.0</v>
      </c>
      <c r="AG30" s="8">
        <v>370.0</v>
      </c>
      <c r="AH30" s="9">
        <f t="shared" si="6"/>
        <v>0.01621621622</v>
      </c>
      <c r="AI30" s="10">
        <v>13.0</v>
      </c>
      <c r="AJ30" s="8">
        <v>326.0</v>
      </c>
      <c r="AK30" s="9">
        <f t="shared" si="7"/>
        <v>0.03987730061</v>
      </c>
      <c r="AL30" s="16">
        <v>22.0</v>
      </c>
      <c r="AM30" s="16">
        <v>263.0</v>
      </c>
      <c r="AN30" s="17">
        <f t="shared" si="8"/>
        <v>0.08365019011</v>
      </c>
      <c r="AO30" s="18">
        <v>6.0</v>
      </c>
      <c r="AP30" s="18">
        <v>127.0</v>
      </c>
      <c r="AQ30" s="17">
        <f t="shared" si="9"/>
        <v>0.04724409449</v>
      </c>
      <c r="AR30" s="16">
        <v>1.0</v>
      </c>
      <c r="AS30" s="16">
        <v>93.0</v>
      </c>
      <c r="AT30" s="17">
        <f t="shared" si="65"/>
        <v>0.01075268817</v>
      </c>
      <c r="AU30" s="16">
        <v>81.0</v>
      </c>
      <c r="AV30" s="16">
        <v>585.0</v>
      </c>
      <c r="AW30" s="17"/>
      <c r="AX30" s="16">
        <v>2.0</v>
      </c>
      <c r="AY30" s="16">
        <v>76.0</v>
      </c>
      <c r="AZ30" s="17">
        <f t="shared" si="10"/>
        <v>0.02631578947</v>
      </c>
      <c r="BA30" s="16">
        <v>3.0</v>
      </c>
      <c r="BB30" s="16">
        <v>41.0</v>
      </c>
      <c r="BC30" s="17">
        <f t="shared" si="11"/>
        <v>0.07317073171</v>
      </c>
      <c r="BD30" s="17"/>
      <c r="BE30" s="16">
        <v>9.0</v>
      </c>
      <c r="BF30" s="17"/>
      <c r="BG30" s="17"/>
      <c r="BH30" s="18">
        <v>49.0</v>
      </c>
      <c r="BI30" s="17"/>
      <c r="BJ30" s="18">
        <v>9.0</v>
      </c>
      <c r="BK30" s="18">
        <v>176.0</v>
      </c>
      <c r="BL30" s="17">
        <f t="shared" si="12"/>
        <v>0.05113636364</v>
      </c>
      <c r="BM30" s="19">
        <v>2.0</v>
      </c>
      <c r="BN30" s="19">
        <v>45.0</v>
      </c>
      <c r="BO30" s="17">
        <f t="shared" si="13"/>
        <v>0.04444444444</v>
      </c>
      <c r="BP30" s="16">
        <v>11.0</v>
      </c>
      <c r="BQ30" s="16">
        <v>82.0</v>
      </c>
      <c r="BR30" s="17">
        <f t="shared" si="14"/>
        <v>0.1341463415</v>
      </c>
      <c r="BS30" s="16">
        <v>9.0</v>
      </c>
      <c r="BT30" s="16">
        <v>108.0</v>
      </c>
      <c r="BU30" s="17">
        <f t="shared" si="15"/>
        <v>0.08333333333</v>
      </c>
      <c r="BV30" s="18">
        <v>3.0</v>
      </c>
      <c r="BW30" s="18">
        <v>78.0</v>
      </c>
      <c r="BX30" s="17">
        <f t="shared" si="16"/>
        <v>0.03846153846</v>
      </c>
      <c r="BY30" s="16">
        <v>4.0</v>
      </c>
      <c r="BZ30" s="16">
        <v>99.0</v>
      </c>
      <c r="CA30" s="13">
        <f t="shared" si="59"/>
        <v>0.0404040404</v>
      </c>
      <c r="CB30" s="18">
        <v>0.0</v>
      </c>
      <c r="CC30" s="8">
        <v>46.0</v>
      </c>
      <c r="CD30" s="17">
        <f t="shared" si="17"/>
        <v>0</v>
      </c>
      <c r="CE30" s="16">
        <v>11.0</v>
      </c>
      <c r="CF30" s="8">
        <v>329.0</v>
      </c>
      <c r="CG30" s="17">
        <f t="shared" si="18"/>
        <v>0.03343465046</v>
      </c>
      <c r="CH30" s="16">
        <v>0.0</v>
      </c>
      <c r="CI30" s="16">
        <v>12.0</v>
      </c>
      <c r="CJ30" s="17">
        <f t="shared" si="19"/>
        <v>0</v>
      </c>
      <c r="CK30" s="16">
        <v>9.0</v>
      </c>
      <c r="CL30" s="16">
        <v>90.0</v>
      </c>
      <c r="CM30" s="17">
        <f t="shared" si="20"/>
        <v>0.1</v>
      </c>
      <c r="CN30" s="16">
        <v>2.0</v>
      </c>
      <c r="CO30" s="16">
        <v>83.0</v>
      </c>
      <c r="CP30" s="17">
        <f t="shared" si="21"/>
        <v>0.02409638554</v>
      </c>
      <c r="CQ30" s="16">
        <v>14.0</v>
      </c>
      <c r="CR30" s="16">
        <v>565.0</v>
      </c>
      <c r="CS30" s="17">
        <f t="shared" si="22"/>
        <v>0.02477876106</v>
      </c>
      <c r="CT30" s="16">
        <v>2.0</v>
      </c>
      <c r="CU30" s="16">
        <v>104.0</v>
      </c>
      <c r="CV30" s="17">
        <f t="shared" si="23"/>
        <v>0.01923076923</v>
      </c>
      <c r="CW30" s="16">
        <v>0.0</v>
      </c>
      <c r="CX30" s="16">
        <v>46.0</v>
      </c>
      <c r="CY30" s="17">
        <f t="shared" si="24"/>
        <v>0</v>
      </c>
      <c r="CZ30" s="16">
        <v>9.0</v>
      </c>
      <c r="DA30" s="16">
        <v>114.0</v>
      </c>
      <c r="DB30" s="17">
        <f t="shared" si="56"/>
        <v>0.07894736842</v>
      </c>
      <c r="DC30" s="16">
        <v>2.0</v>
      </c>
      <c r="DD30" s="16">
        <v>67.0</v>
      </c>
      <c r="DE30" s="17">
        <f t="shared" si="25"/>
        <v>0.02985074627</v>
      </c>
      <c r="DF30" s="16">
        <v>2.0</v>
      </c>
      <c r="DG30" s="16">
        <v>64.0</v>
      </c>
      <c r="DH30" s="17">
        <f t="shared" si="62"/>
        <v>0.03125</v>
      </c>
      <c r="DI30" s="16">
        <v>14.0</v>
      </c>
      <c r="DJ30" s="16">
        <v>209.0</v>
      </c>
      <c r="DK30" s="17">
        <f t="shared" si="26"/>
        <v>0.06698564593</v>
      </c>
      <c r="DL30" s="16">
        <v>0.0</v>
      </c>
      <c r="DM30" s="16">
        <v>26.0</v>
      </c>
      <c r="DN30" s="17">
        <f t="shared" si="27"/>
        <v>0</v>
      </c>
      <c r="DO30" s="16">
        <v>1.0</v>
      </c>
      <c r="DP30" s="16">
        <v>55.0</v>
      </c>
      <c r="DQ30" s="17">
        <f t="shared" si="28"/>
        <v>0.01818181818</v>
      </c>
      <c r="DR30" s="16">
        <v>8.0</v>
      </c>
      <c r="DS30" s="16">
        <v>94.0</v>
      </c>
      <c r="DT30" s="17">
        <f t="shared" si="29"/>
        <v>0.08510638298</v>
      </c>
      <c r="DU30" s="16">
        <v>29.0</v>
      </c>
      <c r="DV30" s="16">
        <v>254.0</v>
      </c>
      <c r="DW30" s="17">
        <f t="shared" si="57"/>
        <v>0.1141732283</v>
      </c>
      <c r="DX30" s="16">
        <v>0.0</v>
      </c>
      <c r="DY30" s="16">
        <v>29.0</v>
      </c>
      <c r="DZ30" s="17">
        <f t="shared" si="30"/>
        <v>0</v>
      </c>
      <c r="EA30" s="22">
        <v>12.0</v>
      </c>
      <c r="EB30" s="16">
        <v>485.0</v>
      </c>
      <c r="EC30" s="17">
        <f t="shared" si="31"/>
        <v>0.02474226804</v>
      </c>
      <c r="ED30" s="16">
        <v>2.0</v>
      </c>
      <c r="EE30" s="16">
        <v>30.0</v>
      </c>
      <c r="EF30" s="17">
        <f t="shared" si="32"/>
        <v>0.06666666667</v>
      </c>
      <c r="EG30" s="16">
        <v>2.0</v>
      </c>
      <c r="EH30" s="16">
        <v>46.0</v>
      </c>
      <c r="EI30" s="17">
        <f t="shared" si="33"/>
        <v>0.04347826087</v>
      </c>
      <c r="EJ30" s="16">
        <v>11.0</v>
      </c>
      <c r="EK30" s="16">
        <v>550.0</v>
      </c>
      <c r="EL30" s="17">
        <f t="shared" si="34"/>
        <v>0.02</v>
      </c>
      <c r="EM30" s="16">
        <v>2.0</v>
      </c>
      <c r="EN30" s="16">
        <v>13.0</v>
      </c>
      <c r="EO30" s="17">
        <f t="shared" si="35"/>
        <v>0.1538461538</v>
      </c>
      <c r="EP30" s="16">
        <v>6.0</v>
      </c>
      <c r="EQ30" s="16">
        <v>258.0</v>
      </c>
      <c r="ER30" s="17">
        <f t="shared" si="60"/>
        <v>0.02325581395</v>
      </c>
      <c r="ES30" s="16">
        <v>4.0</v>
      </c>
      <c r="ET30" s="16">
        <v>113.0</v>
      </c>
      <c r="EU30" s="17">
        <f t="shared" si="36"/>
        <v>0.03539823009</v>
      </c>
      <c r="EV30" s="16">
        <v>9.0</v>
      </c>
      <c r="EW30" s="16">
        <v>49.0</v>
      </c>
      <c r="EX30" s="17">
        <f t="shared" si="64"/>
        <v>0.1836734694</v>
      </c>
      <c r="EY30" s="16">
        <v>411.0</v>
      </c>
      <c r="EZ30" s="16">
        <v>691.0</v>
      </c>
      <c r="FA30" s="17">
        <f t="shared" si="37"/>
        <v>0.5947901592</v>
      </c>
      <c r="FB30" s="16">
        <v>395.0</v>
      </c>
      <c r="FC30" s="16">
        <v>2127.0</v>
      </c>
      <c r="FD30" s="17">
        <f t="shared" si="38"/>
        <v>0.1784101174</v>
      </c>
      <c r="FE30" s="8">
        <v>5.0</v>
      </c>
      <c r="FF30" s="16">
        <v>131.0</v>
      </c>
      <c r="FG30" s="17">
        <f t="shared" si="39"/>
        <v>0.03816793893</v>
      </c>
      <c r="FH30" s="16">
        <v>5.0</v>
      </c>
      <c r="FI30" s="16">
        <v>100.0</v>
      </c>
      <c r="FJ30" s="17">
        <f t="shared" si="40"/>
        <v>0.05</v>
      </c>
      <c r="FK30" s="16">
        <v>1.0</v>
      </c>
      <c r="FL30" s="16">
        <v>96.0</v>
      </c>
      <c r="FM30" s="17">
        <f t="shared" si="41"/>
        <v>0.01041666667</v>
      </c>
      <c r="FN30" s="16">
        <v>11.0</v>
      </c>
      <c r="FO30" s="16">
        <v>113.0</v>
      </c>
      <c r="FP30" s="17">
        <f t="shared" si="42"/>
        <v>0.09734513274</v>
      </c>
      <c r="FQ30" s="16">
        <v>6.0</v>
      </c>
      <c r="FR30" s="16">
        <v>59.0</v>
      </c>
      <c r="FS30" s="17">
        <f t="shared" si="43"/>
        <v>0.1016949153</v>
      </c>
      <c r="FT30" s="16">
        <v>9.0</v>
      </c>
      <c r="FU30" s="16"/>
      <c r="FV30" s="16"/>
      <c r="FW30" s="16">
        <v>4.0</v>
      </c>
      <c r="FX30" s="16">
        <v>40.0</v>
      </c>
      <c r="FY30" s="17">
        <f t="shared" si="44"/>
        <v>0.1</v>
      </c>
      <c r="FZ30" s="16">
        <v>5.0</v>
      </c>
      <c r="GA30" s="16"/>
      <c r="GB30" s="16"/>
      <c r="GC30" s="16">
        <v>3.0</v>
      </c>
      <c r="GD30" s="16">
        <v>141.0</v>
      </c>
      <c r="GE30" s="17">
        <f t="shared" si="45"/>
        <v>0.02127659574</v>
      </c>
      <c r="GF30" s="16">
        <v>4.0</v>
      </c>
      <c r="GG30" s="16">
        <v>115.0</v>
      </c>
      <c r="GH30" s="17">
        <f t="shared" si="46"/>
        <v>0.0347826087</v>
      </c>
      <c r="GI30" s="16">
        <v>35.0</v>
      </c>
      <c r="GJ30" s="16">
        <v>465.0</v>
      </c>
      <c r="GK30" s="17">
        <f t="shared" si="47"/>
        <v>0.0752688172</v>
      </c>
      <c r="GL30" s="16">
        <v>18.0</v>
      </c>
      <c r="GM30" s="16">
        <v>176.0</v>
      </c>
      <c r="GN30" s="17">
        <f t="shared" si="63"/>
        <v>0.1022727273</v>
      </c>
      <c r="GO30" s="16">
        <v>1.0</v>
      </c>
      <c r="GP30" s="16">
        <v>16.0</v>
      </c>
      <c r="GQ30" s="17">
        <f t="shared" si="49"/>
        <v>0.0625</v>
      </c>
      <c r="GR30" s="16">
        <v>2.0</v>
      </c>
      <c r="GS30" s="16">
        <v>55.0</v>
      </c>
      <c r="GT30" s="17">
        <f t="shared" si="50"/>
        <v>0.03636363636</v>
      </c>
      <c r="GU30" s="8">
        <v>0.0</v>
      </c>
      <c r="GV30" s="16">
        <v>20.0</v>
      </c>
      <c r="GW30" s="17">
        <f t="shared" si="51"/>
        <v>0</v>
      </c>
      <c r="GX30" s="16">
        <v>31.0</v>
      </c>
      <c r="GY30" s="16">
        <v>618.0</v>
      </c>
      <c r="GZ30" s="16"/>
      <c r="HA30" s="16">
        <v>15.0</v>
      </c>
      <c r="HB30" s="16">
        <v>229.0</v>
      </c>
      <c r="HC30" s="17">
        <f t="shared" si="52"/>
        <v>0.06550218341</v>
      </c>
      <c r="HD30" s="16"/>
      <c r="HE30" s="16"/>
      <c r="HF30" s="16"/>
    </row>
    <row r="31" ht="15.75" customHeight="1">
      <c r="A31" s="1">
        <f t="shared" si="58"/>
        <v>44652</v>
      </c>
      <c r="B31" s="8">
        <v>345.0</v>
      </c>
      <c r="C31" s="23">
        <v>1118.0</v>
      </c>
      <c r="D31" s="9">
        <f t="shared" si="1"/>
        <v>0.3085867621</v>
      </c>
      <c r="E31" s="8">
        <v>4.0</v>
      </c>
      <c r="F31" s="8">
        <v>137.0</v>
      </c>
      <c r="G31" s="9">
        <f t="shared" si="2"/>
        <v>0.02919708029</v>
      </c>
      <c r="H31" s="8">
        <v>32.0</v>
      </c>
      <c r="I31" s="8">
        <v>892.0</v>
      </c>
      <c r="J31" s="9">
        <f t="shared" si="3"/>
        <v>0.03587443946</v>
      </c>
      <c r="K31" s="8">
        <v>14.0</v>
      </c>
      <c r="L31" s="8">
        <v>201.0</v>
      </c>
      <c r="M31" s="9">
        <f t="shared" si="61"/>
        <v>0.06965174129</v>
      </c>
      <c r="N31" s="8">
        <v>65.0</v>
      </c>
      <c r="O31" s="8">
        <v>1001.0</v>
      </c>
      <c r="P31" s="9">
        <f t="shared" si="4"/>
        <v>0.06493506494</v>
      </c>
      <c r="Q31" s="8">
        <v>5.0</v>
      </c>
      <c r="T31" s="8">
        <v>11.0</v>
      </c>
      <c r="U31" s="8">
        <v>309.0</v>
      </c>
      <c r="V31" s="9">
        <f t="shared" si="53"/>
        <v>0.0355987055</v>
      </c>
      <c r="W31" s="8">
        <v>23.0</v>
      </c>
      <c r="X31" s="8">
        <v>514.0</v>
      </c>
      <c r="Y31" s="9">
        <f t="shared" si="5"/>
        <v>0.04474708171</v>
      </c>
      <c r="Z31" s="8">
        <v>4.0</v>
      </c>
      <c r="AA31" s="8">
        <v>298.0</v>
      </c>
      <c r="AB31" s="9">
        <f t="shared" si="54"/>
        <v>0.01342281879</v>
      </c>
      <c r="AC31" s="8">
        <v>36.0</v>
      </c>
      <c r="AD31" s="8">
        <v>1051.0</v>
      </c>
      <c r="AE31" s="9">
        <f t="shared" si="55"/>
        <v>0.03425309229</v>
      </c>
      <c r="AF31" s="8">
        <v>18.0</v>
      </c>
      <c r="AG31" s="8">
        <v>304.0</v>
      </c>
      <c r="AH31" s="9">
        <f t="shared" si="6"/>
        <v>0.05921052632</v>
      </c>
      <c r="AI31" s="10">
        <v>10.0</v>
      </c>
      <c r="AJ31" s="8">
        <v>304.0</v>
      </c>
      <c r="AK31" s="9">
        <f t="shared" si="7"/>
        <v>0.03289473684</v>
      </c>
      <c r="AL31" s="16">
        <v>20.0</v>
      </c>
      <c r="AM31" s="16">
        <v>258.0</v>
      </c>
      <c r="AN31" s="17">
        <f t="shared" si="8"/>
        <v>0.07751937984</v>
      </c>
      <c r="AO31" s="18">
        <v>5.0</v>
      </c>
      <c r="AP31" s="18">
        <v>119.0</v>
      </c>
      <c r="AQ31" s="17">
        <f t="shared" si="9"/>
        <v>0.04201680672</v>
      </c>
      <c r="AR31" s="16">
        <v>1.0</v>
      </c>
      <c r="AS31" s="16">
        <v>87.0</v>
      </c>
      <c r="AT31" s="17">
        <f t="shared" si="65"/>
        <v>0.01149425287</v>
      </c>
      <c r="AU31" s="16">
        <v>69.0</v>
      </c>
      <c r="AV31" s="16">
        <v>522.0</v>
      </c>
      <c r="AW31" s="17"/>
      <c r="AX31" s="16">
        <v>1.0</v>
      </c>
      <c r="AY31" s="16">
        <v>70.0</v>
      </c>
      <c r="AZ31" s="17">
        <f t="shared" si="10"/>
        <v>0.01428571429</v>
      </c>
      <c r="BA31" s="16">
        <v>2.0</v>
      </c>
      <c r="BB31" s="16">
        <v>31.0</v>
      </c>
      <c r="BC31" s="17">
        <f t="shared" si="11"/>
        <v>0.06451612903</v>
      </c>
      <c r="BD31" s="17"/>
      <c r="BE31" s="16">
        <v>8.0</v>
      </c>
      <c r="BF31" s="17"/>
      <c r="BG31" s="17"/>
      <c r="BH31" s="18">
        <v>52.0</v>
      </c>
      <c r="BI31" s="17"/>
      <c r="BJ31" s="18">
        <v>8.0</v>
      </c>
      <c r="BK31" s="18">
        <v>179.0</v>
      </c>
      <c r="BL31" s="17">
        <f t="shared" si="12"/>
        <v>0.04469273743</v>
      </c>
      <c r="BM31" s="19">
        <v>1.0</v>
      </c>
      <c r="BN31" s="19">
        <v>42.0</v>
      </c>
      <c r="BO31" s="17">
        <f t="shared" si="13"/>
        <v>0.02380952381</v>
      </c>
      <c r="BP31" s="16">
        <v>5.0</v>
      </c>
      <c r="BQ31" s="16">
        <v>107.0</v>
      </c>
      <c r="BR31" s="17">
        <f t="shared" si="14"/>
        <v>0.04672897196</v>
      </c>
      <c r="BS31" s="16">
        <v>6.0</v>
      </c>
      <c r="BT31" s="16">
        <v>111.0</v>
      </c>
      <c r="BU31" s="17">
        <f t="shared" si="15"/>
        <v>0.05405405405</v>
      </c>
      <c r="BV31" s="18">
        <v>3.0</v>
      </c>
      <c r="BW31" s="18">
        <v>84.0</v>
      </c>
      <c r="BX31" s="17">
        <f t="shared" si="16"/>
        <v>0.03571428571</v>
      </c>
      <c r="BY31" s="16">
        <v>0.0</v>
      </c>
      <c r="BZ31" s="16">
        <v>88.0</v>
      </c>
      <c r="CA31" s="13">
        <f t="shared" si="59"/>
        <v>0</v>
      </c>
      <c r="CB31" s="18">
        <v>2.0</v>
      </c>
      <c r="CC31" s="8">
        <v>44.0</v>
      </c>
      <c r="CD31" s="17">
        <f t="shared" si="17"/>
        <v>0.04545454545</v>
      </c>
      <c r="CE31" s="16">
        <v>13.0</v>
      </c>
      <c r="CF31" s="8">
        <v>317.0</v>
      </c>
      <c r="CG31" s="17">
        <f t="shared" si="18"/>
        <v>0.04100946372</v>
      </c>
      <c r="CH31" s="16">
        <v>2.0</v>
      </c>
      <c r="CI31" s="16">
        <v>12.0</v>
      </c>
      <c r="CJ31" s="17">
        <f t="shared" si="19"/>
        <v>0.1666666667</v>
      </c>
      <c r="CK31" s="16">
        <v>6.0</v>
      </c>
      <c r="CL31" s="16">
        <v>81.0</v>
      </c>
      <c r="CM31" s="17">
        <f t="shared" si="20"/>
        <v>0.07407407407</v>
      </c>
      <c r="CN31" s="16">
        <v>3.0</v>
      </c>
      <c r="CO31" s="16">
        <v>88.0</v>
      </c>
      <c r="CP31" s="17">
        <f t="shared" si="21"/>
        <v>0.03409090909</v>
      </c>
      <c r="CQ31" s="16">
        <v>21.0</v>
      </c>
      <c r="CR31" s="16">
        <v>537.0</v>
      </c>
      <c r="CS31" s="17">
        <f t="shared" si="22"/>
        <v>0.03910614525</v>
      </c>
      <c r="CT31" s="16">
        <v>4.0</v>
      </c>
      <c r="CU31" s="16">
        <v>129.0</v>
      </c>
      <c r="CV31" s="17">
        <f t="shared" si="23"/>
        <v>0.03100775194</v>
      </c>
      <c r="CW31" s="16">
        <v>2.0</v>
      </c>
      <c r="CX31" s="16">
        <v>44.0</v>
      </c>
      <c r="CY31" s="17">
        <f t="shared" si="24"/>
        <v>0.04545454545</v>
      </c>
      <c r="CZ31" s="16">
        <v>9.0</v>
      </c>
      <c r="DA31" s="16">
        <v>99.0</v>
      </c>
      <c r="DB31" s="17">
        <f t="shared" si="56"/>
        <v>0.09090909091</v>
      </c>
      <c r="DC31" s="16">
        <v>4.0</v>
      </c>
      <c r="DD31" s="16">
        <v>64.0</v>
      </c>
      <c r="DE31" s="17">
        <f t="shared" si="25"/>
        <v>0.0625</v>
      </c>
      <c r="DF31" s="16">
        <v>5.0</v>
      </c>
      <c r="DG31" s="16">
        <v>62.0</v>
      </c>
      <c r="DH31" s="17">
        <f t="shared" si="62"/>
        <v>0.08064516129</v>
      </c>
      <c r="DI31" s="16">
        <v>4.0</v>
      </c>
      <c r="DJ31" s="16">
        <v>188.0</v>
      </c>
      <c r="DK31" s="17">
        <f t="shared" si="26"/>
        <v>0.02127659574</v>
      </c>
      <c r="DL31" s="16">
        <v>5.0</v>
      </c>
      <c r="DM31" s="16">
        <v>26.0</v>
      </c>
      <c r="DN31" s="17">
        <f t="shared" si="27"/>
        <v>0.1923076923</v>
      </c>
      <c r="DO31" s="16">
        <v>1.0</v>
      </c>
      <c r="DP31" s="16">
        <v>76.0</v>
      </c>
      <c r="DQ31" s="17">
        <f t="shared" si="28"/>
        <v>0.01315789474</v>
      </c>
      <c r="DR31" s="16">
        <v>6.0</v>
      </c>
      <c r="DS31" s="16">
        <v>86.0</v>
      </c>
      <c r="DT31" s="17">
        <f t="shared" si="29"/>
        <v>0.06976744186</v>
      </c>
      <c r="DU31" s="16">
        <v>14.0</v>
      </c>
      <c r="DV31" s="16">
        <v>265.0</v>
      </c>
      <c r="DW31" s="17">
        <f t="shared" si="57"/>
        <v>0.05283018868</v>
      </c>
      <c r="DX31" s="16">
        <v>1.0</v>
      </c>
      <c r="DY31" s="16">
        <v>11.0</v>
      </c>
      <c r="DZ31" s="17">
        <f t="shared" si="30"/>
        <v>0.09090909091</v>
      </c>
      <c r="EA31" s="22">
        <v>16.0</v>
      </c>
      <c r="EB31" s="16">
        <v>469.0</v>
      </c>
      <c r="EC31" s="17">
        <f t="shared" si="31"/>
        <v>0.03411513859</v>
      </c>
      <c r="ED31" s="16">
        <v>1.0</v>
      </c>
      <c r="EE31" s="16">
        <v>15.0</v>
      </c>
      <c r="EF31" s="17">
        <f t="shared" si="32"/>
        <v>0.06666666667</v>
      </c>
      <c r="EG31" s="16">
        <v>2.0</v>
      </c>
      <c r="EH31" s="16">
        <v>60.0</v>
      </c>
      <c r="EI31" s="17">
        <f t="shared" si="33"/>
        <v>0.03333333333</v>
      </c>
      <c r="EJ31" s="16">
        <v>13.0</v>
      </c>
      <c r="EK31" s="16">
        <v>522.0</v>
      </c>
      <c r="EL31" s="17">
        <f t="shared" si="34"/>
        <v>0.02490421456</v>
      </c>
      <c r="EM31" s="16">
        <v>0.0</v>
      </c>
      <c r="EN31" s="16">
        <v>19.0</v>
      </c>
      <c r="EO31" s="17">
        <f t="shared" si="35"/>
        <v>0</v>
      </c>
      <c r="EP31" s="16">
        <v>11.0</v>
      </c>
      <c r="EQ31" s="16">
        <v>266.0</v>
      </c>
      <c r="ER31" s="17">
        <f t="shared" si="60"/>
        <v>0.04135338346</v>
      </c>
      <c r="ES31" s="16">
        <v>4.0</v>
      </c>
      <c r="ET31" s="16">
        <v>99.0</v>
      </c>
      <c r="EU31" s="17">
        <f t="shared" si="36"/>
        <v>0.0404040404</v>
      </c>
      <c r="EV31" s="16">
        <v>2.0</v>
      </c>
      <c r="EW31" s="16">
        <v>60.0</v>
      </c>
      <c r="EX31" s="17">
        <f t="shared" si="64"/>
        <v>0.03333333333</v>
      </c>
      <c r="EY31" s="16">
        <v>393.0</v>
      </c>
      <c r="EZ31" s="16">
        <v>650.0</v>
      </c>
      <c r="FA31" s="17">
        <f t="shared" si="37"/>
        <v>0.6046153846</v>
      </c>
      <c r="FB31" s="16">
        <v>441.0</v>
      </c>
      <c r="FC31" s="16">
        <v>2214.0</v>
      </c>
      <c r="FD31" s="17">
        <f t="shared" si="38"/>
        <v>0.1980242479</v>
      </c>
      <c r="FE31" s="8">
        <v>10.0</v>
      </c>
      <c r="FF31" s="16">
        <v>151.0</v>
      </c>
      <c r="FG31" s="17">
        <f t="shared" si="39"/>
        <v>0.06622516556</v>
      </c>
      <c r="FH31" s="16">
        <v>12.0</v>
      </c>
      <c r="FI31" s="16">
        <v>83.0</v>
      </c>
      <c r="FJ31" s="17">
        <f t="shared" si="40"/>
        <v>0.1445783133</v>
      </c>
      <c r="FK31" s="16">
        <v>0.0</v>
      </c>
      <c r="FL31" s="16">
        <v>81.0</v>
      </c>
      <c r="FM31" s="17">
        <f t="shared" si="41"/>
        <v>0</v>
      </c>
      <c r="FN31" s="16">
        <v>6.0</v>
      </c>
      <c r="FO31" s="16">
        <v>98.0</v>
      </c>
      <c r="FP31" s="17">
        <f t="shared" si="42"/>
        <v>0.0612244898</v>
      </c>
      <c r="FQ31" s="16">
        <v>5.0</v>
      </c>
      <c r="FR31" s="16">
        <v>49.0</v>
      </c>
      <c r="FS31" s="17">
        <f t="shared" si="43"/>
        <v>0.1020408163</v>
      </c>
      <c r="FT31" s="16">
        <v>9.0</v>
      </c>
      <c r="FU31" s="16"/>
      <c r="FV31" s="16"/>
      <c r="FW31" s="16">
        <v>3.0</v>
      </c>
      <c r="FX31" s="16">
        <v>29.0</v>
      </c>
      <c r="FY31" s="17">
        <f t="shared" si="44"/>
        <v>0.1034482759</v>
      </c>
      <c r="FZ31" s="16">
        <v>3.0</v>
      </c>
      <c r="GA31" s="16"/>
      <c r="GB31" s="16"/>
      <c r="GC31" s="16">
        <v>1.0</v>
      </c>
      <c r="GD31" s="16">
        <v>121.0</v>
      </c>
      <c r="GE31" s="17">
        <f t="shared" si="45"/>
        <v>0.00826446281</v>
      </c>
      <c r="GF31" s="16">
        <v>1.0</v>
      </c>
      <c r="GG31" s="16">
        <v>90.0</v>
      </c>
      <c r="GH31" s="17">
        <f t="shared" si="46"/>
        <v>0.01111111111</v>
      </c>
      <c r="GI31" s="16">
        <v>57.0</v>
      </c>
      <c r="GJ31" s="16">
        <v>387.0</v>
      </c>
      <c r="GK31" s="17">
        <f t="shared" si="47"/>
        <v>0.1472868217</v>
      </c>
      <c r="GL31" s="16">
        <v>36.0</v>
      </c>
      <c r="GM31" s="16">
        <v>195.0</v>
      </c>
      <c r="GN31" s="17">
        <f t="shared" si="63"/>
        <v>0.1846153846</v>
      </c>
      <c r="GO31" s="16">
        <v>2.0</v>
      </c>
      <c r="GP31" s="16">
        <v>30.0</v>
      </c>
      <c r="GQ31" s="17">
        <f t="shared" si="49"/>
        <v>0.06666666667</v>
      </c>
      <c r="GR31" s="16">
        <v>5.0</v>
      </c>
      <c r="GS31" s="16">
        <v>59.0</v>
      </c>
      <c r="GT31" s="17">
        <f t="shared" si="50"/>
        <v>0.08474576271</v>
      </c>
      <c r="GU31" s="8">
        <v>1.0</v>
      </c>
      <c r="GV31" s="16">
        <v>15.0</v>
      </c>
      <c r="GW31" s="17">
        <f t="shared" si="51"/>
        <v>0.06666666667</v>
      </c>
      <c r="GX31" s="16">
        <v>51.0</v>
      </c>
      <c r="GY31" s="16">
        <v>647.0</v>
      </c>
      <c r="GZ31" s="16"/>
      <c r="HA31" s="16">
        <v>9.0</v>
      </c>
      <c r="HB31" s="16">
        <v>209.0</v>
      </c>
      <c r="HC31" s="17">
        <f t="shared" si="52"/>
        <v>0.04306220096</v>
      </c>
      <c r="HD31" s="16"/>
      <c r="HE31" s="16"/>
      <c r="HF31" s="16"/>
    </row>
    <row r="32" ht="15.75" customHeight="1">
      <c r="A32" s="1">
        <f t="shared" si="58"/>
        <v>44682</v>
      </c>
      <c r="B32" s="8">
        <v>356.0</v>
      </c>
      <c r="C32" s="23">
        <v>1215.0</v>
      </c>
      <c r="D32" s="9">
        <f t="shared" si="1"/>
        <v>0.2930041152</v>
      </c>
      <c r="E32" s="8">
        <v>9.0</v>
      </c>
      <c r="F32" s="8">
        <v>142.0</v>
      </c>
      <c r="G32" s="9">
        <f t="shared" si="2"/>
        <v>0.06338028169</v>
      </c>
      <c r="H32" s="8">
        <v>31.0</v>
      </c>
      <c r="I32" s="8">
        <v>849.0</v>
      </c>
      <c r="J32" s="9">
        <f t="shared" si="3"/>
        <v>0.03651354535</v>
      </c>
      <c r="K32" s="8">
        <v>13.0</v>
      </c>
      <c r="L32" s="8">
        <v>224.0</v>
      </c>
      <c r="M32" s="9">
        <f t="shared" si="61"/>
        <v>0.05803571429</v>
      </c>
      <c r="N32" s="8">
        <v>45.0</v>
      </c>
      <c r="O32" s="8">
        <v>1030.0</v>
      </c>
      <c r="P32" s="9">
        <f t="shared" si="4"/>
        <v>0.04368932039</v>
      </c>
      <c r="Q32" s="8">
        <v>7.0</v>
      </c>
      <c r="T32" s="8">
        <v>16.0</v>
      </c>
      <c r="U32" s="8">
        <v>352.0</v>
      </c>
      <c r="V32" s="9">
        <f t="shared" si="53"/>
        <v>0.04545454545</v>
      </c>
      <c r="W32" s="8">
        <v>50.0</v>
      </c>
      <c r="X32" s="8">
        <v>513.0</v>
      </c>
      <c r="Y32" s="9">
        <f t="shared" si="5"/>
        <v>0.09746588694</v>
      </c>
      <c r="Z32" s="8">
        <v>6.0</v>
      </c>
      <c r="AA32" s="8">
        <v>311.0</v>
      </c>
      <c r="AB32" s="9">
        <f t="shared" si="54"/>
        <v>0.0192926045</v>
      </c>
      <c r="AC32" s="8">
        <v>25.0</v>
      </c>
      <c r="AD32" s="8">
        <v>1192.0</v>
      </c>
      <c r="AE32" s="9">
        <f t="shared" si="55"/>
        <v>0.02097315436</v>
      </c>
      <c r="AF32" s="8">
        <v>10.0</v>
      </c>
      <c r="AG32" s="8">
        <v>334.0</v>
      </c>
      <c r="AH32" s="9">
        <f t="shared" si="6"/>
        <v>0.02994011976</v>
      </c>
      <c r="AI32" s="10">
        <v>9.0</v>
      </c>
      <c r="AJ32" s="8">
        <v>308.0</v>
      </c>
      <c r="AK32" s="9">
        <f t="shared" si="7"/>
        <v>0.02922077922</v>
      </c>
      <c r="AL32" s="16">
        <v>20.0</v>
      </c>
      <c r="AM32" s="16">
        <v>293.0</v>
      </c>
      <c r="AN32" s="17">
        <f t="shared" si="8"/>
        <v>0.06825938567</v>
      </c>
      <c r="AO32" s="18">
        <v>9.0</v>
      </c>
      <c r="AP32" s="18">
        <v>117.0</v>
      </c>
      <c r="AQ32" s="17">
        <f t="shared" si="9"/>
        <v>0.07692307692</v>
      </c>
      <c r="AR32" s="16">
        <v>2.0</v>
      </c>
      <c r="AS32" s="16">
        <v>112.0</v>
      </c>
      <c r="AT32" s="17">
        <f t="shared" si="65"/>
        <v>0.01785714286</v>
      </c>
      <c r="AU32" s="16">
        <v>79.0</v>
      </c>
      <c r="AV32" s="16">
        <v>458.0</v>
      </c>
      <c r="AW32" s="17"/>
      <c r="AX32" s="16">
        <v>2.0</v>
      </c>
      <c r="AY32" s="16">
        <v>75.0</v>
      </c>
      <c r="AZ32" s="17">
        <f t="shared" si="10"/>
        <v>0.02666666667</v>
      </c>
      <c r="BA32" s="16">
        <v>3.0</v>
      </c>
      <c r="BB32" s="16">
        <v>39.0</v>
      </c>
      <c r="BC32" s="17">
        <f t="shared" si="11"/>
        <v>0.07692307692</v>
      </c>
      <c r="BD32" s="17"/>
      <c r="BE32" s="16">
        <v>9.0</v>
      </c>
      <c r="BF32" s="17"/>
      <c r="BG32" s="17"/>
      <c r="BH32" s="18">
        <v>74.0</v>
      </c>
      <c r="BI32" s="17"/>
      <c r="BJ32" s="18">
        <v>8.0</v>
      </c>
      <c r="BK32" s="18">
        <v>220.0</v>
      </c>
      <c r="BL32" s="17">
        <f t="shared" si="12"/>
        <v>0.03636363636</v>
      </c>
      <c r="BM32" s="19">
        <v>1.0</v>
      </c>
      <c r="BN32" s="19">
        <v>42.0</v>
      </c>
      <c r="BO32" s="17">
        <f t="shared" si="13"/>
        <v>0.02380952381</v>
      </c>
      <c r="BP32" s="16">
        <v>7.0</v>
      </c>
      <c r="BQ32" s="16">
        <v>88.0</v>
      </c>
      <c r="BR32" s="17">
        <f t="shared" si="14"/>
        <v>0.07954545455</v>
      </c>
      <c r="BS32" s="16">
        <v>6.0</v>
      </c>
      <c r="BT32" s="16">
        <v>118.0</v>
      </c>
      <c r="BU32" s="17">
        <f t="shared" si="15"/>
        <v>0.05084745763</v>
      </c>
      <c r="BV32" s="18">
        <v>3.0</v>
      </c>
      <c r="BW32" s="18">
        <v>75.0</v>
      </c>
      <c r="BX32" s="17">
        <f t="shared" si="16"/>
        <v>0.04</v>
      </c>
      <c r="BY32" s="22">
        <v>1.0</v>
      </c>
      <c r="BZ32" s="16">
        <v>104.0</v>
      </c>
      <c r="CA32" s="13">
        <f t="shared" si="59"/>
        <v>0.009615384615</v>
      </c>
      <c r="CB32" s="18">
        <v>0.0</v>
      </c>
      <c r="CC32" s="8">
        <v>52.0</v>
      </c>
      <c r="CD32" s="17">
        <f t="shared" si="17"/>
        <v>0</v>
      </c>
      <c r="CE32" s="16">
        <v>9.0</v>
      </c>
      <c r="CF32" s="8">
        <v>294.0</v>
      </c>
      <c r="CG32" s="17">
        <f t="shared" si="18"/>
        <v>0.0306122449</v>
      </c>
      <c r="CH32" s="16">
        <v>0.0</v>
      </c>
      <c r="CI32" s="16">
        <v>23.0</v>
      </c>
      <c r="CJ32" s="17">
        <f t="shared" si="19"/>
        <v>0</v>
      </c>
      <c r="CK32" s="16">
        <v>2.0</v>
      </c>
      <c r="CL32" s="16">
        <v>74.0</v>
      </c>
      <c r="CM32" s="17">
        <f t="shared" si="20"/>
        <v>0.02702702703</v>
      </c>
      <c r="CN32" s="16">
        <v>4.0</v>
      </c>
      <c r="CO32" s="16">
        <v>86.0</v>
      </c>
      <c r="CP32" s="17">
        <f t="shared" si="21"/>
        <v>0.04651162791</v>
      </c>
      <c r="CQ32" s="16">
        <v>9.0</v>
      </c>
      <c r="CR32" s="16">
        <v>532.0</v>
      </c>
      <c r="CS32" s="17">
        <f t="shared" si="22"/>
        <v>0.01691729323</v>
      </c>
      <c r="CT32" s="16">
        <v>3.0</v>
      </c>
      <c r="CU32" s="16">
        <v>144.0</v>
      </c>
      <c r="CV32" s="17">
        <f t="shared" si="23"/>
        <v>0.02083333333</v>
      </c>
      <c r="CW32" s="16">
        <v>0.0</v>
      </c>
      <c r="CX32" s="16">
        <v>52.0</v>
      </c>
      <c r="CY32" s="17">
        <f t="shared" si="24"/>
        <v>0</v>
      </c>
      <c r="CZ32" s="16">
        <v>14.0</v>
      </c>
      <c r="DA32" s="16">
        <v>162.0</v>
      </c>
      <c r="DB32" s="17">
        <f t="shared" si="56"/>
        <v>0.08641975309</v>
      </c>
      <c r="DC32" s="16">
        <v>4.0</v>
      </c>
      <c r="DD32" s="16">
        <v>69.0</v>
      </c>
      <c r="DE32" s="17">
        <f t="shared" si="25"/>
        <v>0.05797101449</v>
      </c>
      <c r="DF32" s="16">
        <v>5.0</v>
      </c>
      <c r="DG32" s="16">
        <v>70.0</v>
      </c>
      <c r="DH32" s="17">
        <f t="shared" si="62"/>
        <v>0.07142857143</v>
      </c>
      <c r="DI32" s="16">
        <v>6.0</v>
      </c>
      <c r="DJ32" s="16">
        <v>204.0</v>
      </c>
      <c r="DK32" s="17">
        <f t="shared" si="26"/>
        <v>0.02941176471</v>
      </c>
      <c r="DL32" s="16">
        <v>1.0</v>
      </c>
      <c r="DM32" s="16">
        <v>23.0</v>
      </c>
      <c r="DN32" s="17">
        <f t="shared" si="27"/>
        <v>0.04347826087</v>
      </c>
      <c r="DO32" s="16">
        <v>4.0</v>
      </c>
      <c r="DP32" s="16">
        <v>76.0</v>
      </c>
      <c r="DQ32" s="17">
        <f t="shared" si="28"/>
        <v>0.05263157895</v>
      </c>
      <c r="DR32" s="16">
        <v>8.0</v>
      </c>
      <c r="DS32" s="16">
        <v>90.0</v>
      </c>
      <c r="DT32" s="17">
        <f t="shared" si="29"/>
        <v>0.08888888889</v>
      </c>
      <c r="DU32" s="16">
        <v>11.0</v>
      </c>
      <c r="DV32" s="16">
        <v>258.0</v>
      </c>
      <c r="DW32" s="17">
        <f t="shared" si="57"/>
        <v>0.04263565891</v>
      </c>
      <c r="DX32" s="16">
        <v>1.0</v>
      </c>
      <c r="DY32" s="16">
        <v>14.0</v>
      </c>
      <c r="DZ32" s="17">
        <f t="shared" si="30"/>
        <v>0.07142857143</v>
      </c>
      <c r="EA32" s="22">
        <v>16.0</v>
      </c>
      <c r="EB32" s="16">
        <v>387.0</v>
      </c>
      <c r="EC32" s="17">
        <f t="shared" si="31"/>
        <v>0.04134366925</v>
      </c>
      <c r="ED32" s="16">
        <v>3.0</v>
      </c>
      <c r="EE32" s="16">
        <v>38.0</v>
      </c>
      <c r="EF32" s="17">
        <f t="shared" si="32"/>
        <v>0.07894736842</v>
      </c>
      <c r="EG32" s="16">
        <v>7.0</v>
      </c>
      <c r="EH32" s="16">
        <v>71.0</v>
      </c>
      <c r="EI32" s="17">
        <f t="shared" si="33"/>
        <v>0.0985915493</v>
      </c>
      <c r="EJ32" s="16">
        <v>6.0</v>
      </c>
      <c r="EK32" s="16">
        <v>561.0</v>
      </c>
      <c r="EL32" s="17">
        <f t="shared" si="34"/>
        <v>0.01069518717</v>
      </c>
      <c r="EM32" s="16">
        <v>0.0</v>
      </c>
      <c r="EN32" s="16">
        <v>10.0</v>
      </c>
      <c r="EO32" s="17">
        <f t="shared" si="35"/>
        <v>0</v>
      </c>
      <c r="EP32" s="16">
        <v>9.0</v>
      </c>
      <c r="EQ32" s="16">
        <v>211.0</v>
      </c>
      <c r="ER32" s="17">
        <f t="shared" si="60"/>
        <v>0.04265402844</v>
      </c>
      <c r="ES32" s="16">
        <v>4.0</v>
      </c>
      <c r="ET32" s="16">
        <v>98.0</v>
      </c>
      <c r="EU32" s="17">
        <f t="shared" si="36"/>
        <v>0.04081632653</v>
      </c>
      <c r="EV32" s="16">
        <v>10.0</v>
      </c>
      <c r="EW32" s="16">
        <v>54.0</v>
      </c>
      <c r="EX32" s="17">
        <f t="shared" si="64"/>
        <v>0.1851851852</v>
      </c>
      <c r="EY32" s="16">
        <v>433.0</v>
      </c>
      <c r="EZ32" s="16">
        <v>715.0</v>
      </c>
      <c r="FA32" s="17">
        <f t="shared" si="37"/>
        <v>0.6055944056</v>
      </c>
      <c r="FB32" s="16">
        <v>471.0</v>
      </c>
      <c r="FC32" s="16">
        <v>2227.0</v>
      </c>
      <c r="FD32" s="17">
        <f t="shared" si="38"/>
        <v>0.2337468983</v>
      </c>
      <c r="FE32" s="8">
        <v>9.0</v>
      </c>
      <c r="FF32" s="16">
        <v>132.0</v>
      </c>
      <c r="FG32" s="17">
        <f t="shared" si="39"/>
        <v>0.06818181818</v>
      </c>
      <c r="FH32" s="16">
        <v>16.0</v>
      </c>
      <c r="FI32" s="16">
        <v>97.0</v>
      </c>
      <c r="FJ32" s="17">
        <f t="shared" si="40"/>
        <v>0.1649484536</v>
      </c>
      <c r="FK32" s="16">
        <v>0.0</v>
      </c>
      <c r="FL32" s="16">
        <v>53.0</v>
      </c>
      <c r="FM32" s="17">
        <f t="shared" si="41"/>
        <v>0</v>
      </c>
      <c r="FN32" s="16">
        <v>13.0</v>
      </c>
      <c r="FO32" s="16">
        <v>121.0</v>
      </c>
      <c r="FP32" s="17">
        <f t="shared" si="42"/>
        <v>0.1074380165</v>
      </c>
      <c r="FQ32" s="16">
        <v>7.0</v>
      </c>
      <c r="FR32" s="16">
        <v>50.0</v>
      </c>
      <c r="FS32" s="17">
        <f t="shared" si="43"/>
        <v>0.14</v>
      </c>
      <c r="FT32" s="16">
        <v>11.0</v>
      </c>
      <c r="FU32" s="16"/>
      <c r="FV32" s="16"/>
      <c r="FW32" s="16">
        <v>9.0</v>
      </c>
      <c r="FX32" s="16">
        <v>58.0</v>
      </c>
      <c r="FY32" s="17">
        <f t="shared" si="44"/>
        <v>0.1551724138</v>
      </c>
      <c r="FZ32" s="16">
        <v>3.0</v>
      </c>
      <c r="GA32" s="16"/>
      <c r="GB32" s="16"/>
      <c r="GC32" s="16">
        <v>3.0</v>
      </c>
      <c r="GD32" s="16">
        <v>131.0</v>
      </c>
      <c r="GE32" s="17">
        <f t="shared" si="45"/>
        <v>0.02290076336</v>
      </c>
      <c r="GF32" s="16">
        <v>5.0</v>
      </c>
      <c r="GG32" s="16">
        <v>127.0</v>
      </c>
      <c r="GH32" s="17">
        <f t="shared" si="46"/>
        <v>0.03937007874</v>
      </c>
      <c r="GI32" s="16">
        <v>98.0</v>
      </c>
      <c r="GJ32" s="16">
        <v>491.0</v>
      </c>
      <c r="GK32" s="17">
        <f t="shared" si="47"/>
        <v>0.199592668</v>
      </c>
      <c r="GL32" s="16">
        <v>19.0</v>
      </c>
      <c r="GM32" s="16">
        <v>173.0</v>
      </c>
      <c r="GN32" s="17">
        <f t="shared" si="63"/>
        <v>0.1098265896</v>
      </c>
      <c r="GO32" s="16">
        <v>2.0</v>
      </c>
      <c r="GP32" s="16">
        <v>23.0</v>
      </c>
      <c r="GQ32" s="17">
        <f t="shared" si="49"/>
        <v>0.08695652174</v>
      </c>
      <c r="GR32" s="16">
        <v>1.0</v>
      </c>
      <c r="GS32" s="16">
        <v>68.0</v>
      </c>
      <c r="GT32" s="17">
        <f t="shared" si="50"/>
        <v>0.01470588235</v>
      </c>
      <c r="GU32" s="8">
        <v>1.0</v>
      </c>
      <c r="GV32" s="16">
        <v>20.0</v>
      </c>
      <c r="GW32" s="17">
        <f t="shared" si="51"/>
        <v>0.05</v>
      </c>
      <c r="GX32" s="16">
        <v>36.0</v>
      </c>
      <c r="GY32" s="16">
        <v>697.0</v>
      </c>
      <c r="GZ32" s="16"/>
      <c r="HA32" s="16">
        <v>23.0</v>
      </c>
      <c r="HB32" s="16">
        <v>262.0</v>
      </c>
      <c r="HC32" s="17">
        <f t="shared" si="52"/>
        <v>0.08778625954</v>
      </c>
      <c r="HD32" s="16"/>
      <c r="HE32" s="16"/>
      <c r="HF32" s="16"/>
    </row>
    <row r="33" ht="15.75" customHeight="1">
      <c r="A33" s="1">
        <f t="shared" si="58"/>
        <v>44713</v>
      </c>
      <c r="B33" s="8">
        <v>344.0</v>
      </c>
      <c r="C33" s="23">
        <v>1110.0</v>
      </c>
      <c r="D33" s="9">
        <f t="shared" si="1"/>
        <v>0.3099099099</v>
      </c>
      <c r="E33" s="8">
        <v>10.0</v>
      </c>
      <c r="F33" s="8">
        <v>128.0</v>
      </c>
      <c r="G33" s="9">
        <f t="shared" si="2"/>
        <v>0.078125</v>
      </c>
      <c r="H33" s="8">
        <v>43.0</v>
      </c>
      <c r="I33" s="8">
        <v>829.0</v>
      </c>
      <c r="J33" s="9">
        <f t="shared" si="3"/>
        <v>0.05186972256</v>
      </c>
      <c r="K33" s="8">
        <v>46.0</v>
      </c>
      <c r="L33" s="8">
        <v>305.0</v>
      </c>
      <c r="M33" s="9">
        <f t="shared" si="61"/>
        <v>0.1508196721</v>
      </c>
      <c r="N33" s="8">
        <v>127.0</v>
      </c>
      <c r="O33" s="8">
        <v>1138.0</v>
      </c>
      <c r="P33" s="9">
        <f t="shared" si="4"/>
        <v>0.111599297</v>
      </c>
      <c r="Q33" s="8">
        <v>3.0</v>
      </c>
      <c r="T33" s="8">
        <v>32.0</v>
      </c>
      <c r="U33" s="8">
        <v>352.0</v>
      </c>
      <c r="V33" s="9">
        <f t="shared" si="53"/>
        <v>0.09090909091</v>
      </c>
      <c r="W33" s="8">
        <v>48.0</v>
      </c>
      <c r="X33" s="8">
        <v>533.0</v>
      </c>
      <c r="Y33" s="9">
        <f t="shared" si="5"/>
        <v>0.09005628518</v>
      </c>
      <c r="Z33" s="8">
        <v>10.0</v>
      </c>
      <c r="AA33" s="8">
        <v>280.0</v>
      </c>
      <c r="AB33" s="9">
        <f t="shared" si="54"/>
        <v>0.03571428571</v>
      </c>
      <c r="AC33" s="8">
        <v>29.0</v>
      </c>
      <c r="AD33" s="8">
        <v>1077.0</v>
      </c>
      <c r="AE33" s="9">
        <f t="shared" si="55"/>
        <v>0.0269266481</v>
      </c>
      <c r="AF33" s="8">
        <v>12.0</v>
      </c>
      <c r="AG33" s="8">
        <v>357.0</v>
      </c>
      <c r="AH33" s="9">
        <f t="shared" si="6"/>
        <v>0.03361344538</v>
      </c>
      <c r="AI33" s="10">
        <v>5.0</v>
      </c>
      <c r="AJ33" s="8">
        <v>322.0</v>
      </c>
      <c r="AK33" s="9">
        <f t="shared" si="7"/>
        <v>0.01552795031</v>
      </c>
      <c r="AL33" s="16">
        <v>34.0</v>
      </c>
      <c r="AM33" s="16">
        <v>324.0</v>
      </c>
      <c r="AN33" s="17">
        <f t="shared" si="8"/>
        <v>0.1049382716</v>
      </c>
      <c r="AO33" s="18">
        <v>11.0</v>
      </c>
      <c r="AP33" s="18">
        <v>106.0</v>
      </c>
      <c r="AQ33" s="17">
        <f t="shared" si="9"/>
        <v>0.1037735849</v>
      </c>
      <c r="AR33" s="16">
        <v>3.0</v>
      </c>
      <c r="AS33" s="16">
        <v>114.0</v>
      </c>
      <c r="AT33" s="17">
        <f t="shared" si="65"/>
        <v>0.02631578947</v>
      </c>
      <c r="AU33" s="16">
        <v>109.0</v>
      </c>
      <c r="AV33" s="16">
        <v>522.0</v>
      </c>
      <c r="AW33" s="17"/>
      <c r="AX33" s="16">
        <v>5.0</v>
      </c>
      <c r="AY33" s="16">
        <v>76.0</v>
      </c>
      <c r="AZ33" s="17">
        <f t="shared" si="10"/>
        <v>0.06578947368</v>
      </c>
      <c r="BA33" s="16">
        <v>21.0</v>
      </c>
      <c r="BB33" s="16">
        <v>91.0</v>
      </c>
      <c r="BC33" s="17">
        <f t="shared" si="11"/>
        <v>0.2307692308</v>
      </c>
      <c r="BD33" s="17"/>
      <c r="BE33" s="16">
        <v>10.0</v>
      </c>
      <c r="BF33" s="17"/>
      <c r="BG33" s="17"/>
      <c r="BH33" s="18">
        <v>86.0</v>
      </c>
      <c r="BI33" s="17"/>
      <c r="BJ33" s="18">
        <v>14.0</v>
      </c>
      <c r="BK33" s="18">
        <v>234.0</v>
      </c>
      <c r="BL33" s="17">
        <f t="shared" si="12"/>
        <v>0.05982905983</v>
      </c>
      <c r="BM33" s="19">
        <v>1.0</v>
      </c>
      <c r="BN33" s="19">
        <v>48.0</v>
      </c>
      <c r="BO33" s="17">
        <f t="shared" si="13"/>
        <v>0.02083333333</v>
      </c>
      <c r="BP33" s="16">
        <v>6.0</v>
      </c>
      <c r="BQ33" s="16">
        <v>99.0</v>
      </c>
      <c r="BR33" s="17">
        <f t="shared" si="14"/>
        <v>0.06060606061</v>
      </c>
      <c r="BS33" s="16">
        <v>9.0</v>
      </c>
      <c r="BT33" s="16">
        <v>134.0</v>
      </c>
      <c r="BU33" s="17">
        <f t="shared" si="15"/>
        <v>0.0671641791</v>
      </c>
      <c r="BV33" s="18">
        <v>4.0</v>
      </c>
      <c r="BW33" s="18">
        <v>80.0</v>
      </c>
      <c r="BX33" s="17">
        <f t="shared" si="16"/>
        <v>0.05</v>
      </c>
      <c r="BY33" s="22">
        <v>2.0</v>
      </c>
      <c r="BZ33" s="16">
        <v>95.0</v>
      </c>
      <c r="CA33" s="13">
        <f t="shared" si="59"/>
        <v>0.02105263158</v>
      </c>
      <c r="CB33" s="18">
        <v>1.0</v>
      </c>
      <c r="CC33" s="8">
        <v>67.0</v>
      </c>
      <c r="CD33" s="17">
        <f t="shared" si="17"/>
        <v>0.01492537313</v>
      </c>
      <c r="CE33" s="16">
        <v>12.0</v>
      </c>
      <c r="CF33" s="8">
        <v>321.0</v>
      </c>
      <c r="CG33" s="17">
        <f t="shared" si="18"/>
        <v>0.03738317757</v>
      </c>
      <c r="CH33" s="16">
        <v>4.0</v>
      </c>
      <c r="CI33" s="16">
        <v>15.0</v>
      </c>
      <c r="CJ33" s="17">
        <f t="shared" si="19"/>
        <v>0.2666666667</v>
      </c>
      <c r="CK33" s="16">
        <v>1.0</v>
      </c>
      <c r="CL33" s="16">
        <v>100.0</v>
      </c>
      <c r="CM33" s="17">
        <f t="shared" si="20"/>
        <v>0.01</v>
      </c>
      <c r="CN33" s="16">
        <v>2.0</v>
      </c>
      <c r="CO33" s="16">
        <v>91.0</v>
      </c>
      <c r="CP33" s="17">
        <f t="shared" si="21"/>
        <v>0.02197802198</v>
      </c>
      <c r="CQ33" s="16">
        <v>14.0</v>
      </c>
      <c r="CR33" s="16">
        <v>463.0</v>
      </c>
      <c r="CS33" s="17">
        <f t="shared" si="22"/>
        <v>0.03023758099</v>
      </c>
      <c r="CT33" s="16">
        <v>2.0</v>
      </c>
      <c r="CU33" s="16">
        <v>118.0</v>
      </c>
      <c r="CV33" s="17">
        <f t="shared" si="23"/>
        <v>0.01694915254</v>
      </c>
      <c r="CW33" s="16">
        <v>1.0</v>
      </c>
      <c r="CX33" s="16">
        <v>67.0</v>
      </c>
      <c r="CY33" s="17">
        <f t="shared" si="24"/>
        <v>0.01492537313</v>
      </c>
      <c r="CZ33" s="16">
        <v>35.0</v>
      </c>
      <c r="DA33" s="16">
        <v>173.0</v>
      </c>
      <c r="DB33" s="17">
        <f t="shared" si="56"/>
        <v>0.2023121387</v>
      </c>
      <c r="DC33" s="16">
        <v>4.0</v>
      </c>
      <c r="DD33" s="16">
        <v>67.0</v>
      </c>
      <c r="DE33" s="17">
        <f t="shared" si="25"/>
        <v>0.05970149254</v>
      </c>
      <c r="DF33" s="16">
        <v>4.0</v>
      </c>
      <c r="DG33" s="16">
        <v>58.0</v>
      </c>
      <c r="DH33" s="17">
        <f t="shared" si="62"/>
        <v>0.06896551724</v>
      </c>
      <c r="DI33" s="16">
        <v>9.0</v>
      </c>
      <c r="DJ33" s="16">
        <v>163.0</v>
      </c>
      <c r="DK33" s="17">
        <f t="shared" si="26"/>
        <v>0.05521472393</v>
      </c>
      <c r="DL33" s="16">
        <v>1.0</v>
      </c>
      <c r="DM33" s="16">
        <v>27.0</v>
      </c>
      <c r="DN33" s="17">
        <f t="shared" si="27"/>
        <v>0.03703703704</v>
      </c>
      <c r="DO33" s="16">
        <v>7.0</v>
      </c>
      <c r="DP33" s="16">
        <v>91.0</v>
      </c>
      <c r="DQ33" s="17">
        <f t="shared" si="28"/>
        <v>0.07692307692</v>
      </c>
      <c r="DR33" s="16">
        <v>3.0</v>
      </c>
      <c r="DS33" s="16">
        <v>73.0</v>
      </c>
      <c r="DT33" s="17">
        <f t="shared" si="29"/>
        <v>0.04109589041</v>
      </c>
      <c r="DU33" s="16">
        <v>23.0</v>
      </c>
      <c r="DV33" s="16">
        <v>315.0</v>
      </c>
      <c r="DW33" s="17">
        <f t="shared" si="57"/>
        <v>0.07301587302</v>
      </c>
      <c r="DX33" s="16">
        <v>0.0</v>
      </c>
      <c r="DY33" s="16">
        <v>16.0</v>
      </c>
      <c r="DZ33" s="17">
        <f t="shared" si="30"/>
        <v>0</v>
      </c>
      <c r="EA33" s="22">
        <v>21.0</v>
      </c>
      <c r="EB33" s="16">
        <v>420.0</v>
      </c>
      <c r="EC33" s="17">
        <f t="shared" si="31"/>
        <v>0.05</v>
      </c>
      <c r="ED33" s="16">
        <v>0.0</v>
      </c>
      <c r="EE33" s="16">
        <v>34.0</v>
      </c>
      <c r="EF33" s="17">
        <f t="shared" si="32"/>
        <v>0</v>
      </c>
      <c r="EG33" s="16">
        <v>3.0</v>
      </c>
      <c r="EH33" s="16">
        <v>62.0</v>
      </c>
      <c r="EI33" s="17">
        <f t="shared" si="33"/>
        <v>0.04838709677</v>
      </c>
      <c r="EJ33" s="16">
        <v>8.0</v>
      </c>
      <c r="EK33" s="16">
        <v>515.0</v>
      </c>
      <c r="EL33" s="17">
        <f t="shared" si="34"/>
        <v>0.01553398058</v>
      </c>
      <c r="EM33" s="16">
        <v>0.0</v>
      </c>
      <c r="EN33" s="16">
        <v>13.0</v>
      </c>
      <c r="EO33" s="17">
        <f t="shared" si="35"/>
        <v>0</v>
      </c>
      <c r="EP33" s="16">
        <v>5.0</v>
      </c>
      <c r="EQ33" s="16">
        <v>153.0</v>
      </c>
      <c r="ER33" s="17">
        <f t="shared" si="60"/>
        <v>0.03267973856</v>
      </c>
      <c r="ES33" s="16">
        <v>5.0</v>
      </c>
      <c r="ET33" s="16">
        <v>100.0</v>
      </c>
      <c r="EU33" s="17">
        <f t="shared" si="36"/>
        <v>0.05</v>
      </c>
      <c r="EV33" s="16">
        <v>9.0</v>
      </c>
      <c r="EW33" s="16">
        <v>76.0</v>
      </c>
      <c r="EX33" s="17">
        <f t="shared" si="64"/>
        <v>0.1184210526</v>
      </c>
      <c r="EY33" s="16">
        <v>496.0</v>
      </c>
      <c r="EZ33" s="16">
        <v>779.0</v>
      </c>
      <c r="FA33" s="17">
        <f t="shared" si="37"/>
        <v>0.6367137356</v>
      </c>
      <c r="FB33" s="16">
        <v>396.0</v>
      </c>
      <c r="FC33" s="16">
        <v>2015.0</v>
      </c>
      <c r="FD33" s="17">
        <f t="shared" si="38"/>
        <v>0.1871455577</v>
      </c>
      <c r="FE33" s="8">
        <v>11.0</v>
      </c>
      <c r="FF33" s="16">
        <v>137.0</v>
      </c>
      <c r="FG33" s="17">
        <f t="shared" si="39"/>
        <v>0.0802919708</v>
      </c>
      <c r="FH33" s="16">
        <v>7.0</v>
      </c>
      <c r="FI33" s="16">
        <v>99.0</v>
      </c>
      <c r="FJ33" s="17">
        <f t="shared" si="40"/>
        <v>0.07070707071</v>
      </c>
      <c r="FK33" s="16">
        <v>0.0</v>
      </c>
      <c r="FL33" s="16">
        <v>50.0</v>
      </c>
      <c r="FM33" s="17">
        <f t="shared" si="41"/>
        <v>0</v>
      </c>
      <c r="FN33" s="16">
        <v>15.0</v>
      </c>
      <c r="FO33" s="16">
        <v>110.0</v>
      </c>
      <c r="FP33" s="17">
        <f t="shared" si="42"/>
        <v>0.1363636364</v>
      </c>
      <c r="FQ33" s="16">
        <v>8.0</v>
      </c>
      <c r="FR33" s="16">
        <v>63.0</v>
      </c>
      <c r="FS33" s="17">
        <f t="shared" si="43"/>
        <v>0.126984127</v>
      </c>
      <c r="FT33" s="16">
        <v>18.0</v>
      </c>
      <c r="FU33" s="16"/>
      <c r="FV33" s="16"/>
      <c r="FW33" s="16">
        <v>7.0</v>
      </c>
      <c r="FX33" s="16">
        <v>40.0</v>
      </c>
      <c r="FY33" s="17">
        <f t="shared" si="44"/>
        <v>0.175</v>
      </c>
      <c r="FZ33" s="16">
        <v>5.0</v>
      </c>
      <c r="GA33" s="16"/>
      <c r="GB33" s="16"/>
      <c r="GC33" s="16">
        <v>1.0</v>
      </c>
      <c r="GD33" s="16">
        <v>139.0</v>
      </c>
      <c r="GE33" s="17">
        <f t="shared" si="45"/>
        <v>0.007194244604</v>
      </c>
      <c r="GF33" s="16">
        <v>6.0</v>
      </c>
      <c r="GG33" s="16">
        <v>169.0</v>
      </c>
      <c r="GH33" s="17">
        <f t="shared" si="46"/>
        <v>0.03550295858</v>
      </c>
      <c r="GI33" s="16">
        <v>249.0</v>
      </c>
      <c r="GJ33" s="16">
        <v>718.0</v>
      </c>
      <c r="GK33" s="17">
        <f t="shared" si="47"/>
        <v>0.3467966574</v>
      </c>
      <c r="GL33" s="16">
        <v>23.0</v>
      </c>
      <c r="GM33" s="16">
        <v>144.0</v>
      </c>
      <c r="GN33" s="17">
        <f t="shared" si="63"/>
        <v>0.1597222222</v>
      </c>
      <c r="GO33" s="16">
        <v>3.0</v>
      </c>
      <c r="GP33" s="16">
        <v>25.0</v>
      </c>
      <c r="GQ33" s="17">
        <f t="shared" si="49"/>
        <v>0.12</v>
      </c>
      <c r="GR33" s="16">
        <v>4.0</v>
      </c>
      <c r="GS33" s="16">
        <v>52.0</v>
      </c>
      <c r="GT33" s="17">
        <f t="shared" si="50"/>
        <v>0.07692307692</v>
      </c>
      <c r="GU33" s="8">
        <v>2.0</v>
      </c>
      <c r="GV33" s="16">
        <v>18.0</v>
      </c>
      <c r="GW33" s="17">
        <f t="shared" si="51"/>
        <v>0.1111111111</v>
      </c>
      <c r="GX33" s="16">
        <v>52.0</v>
      </c>
      <c r="GY33" s="16">
        <v>828.0</v>
      </c>
      <c r="GZ33" s="16"/>
      <c r="HA33" s="16">
        <v>25.0</v>
      </c>
      <c r="HB33" s="16">
        <v>245.0</v>
      </c>
      <c r="HC33" s="17">
        <f t="shared" si="52"/>
        <v>0.1020408163</v>
      </c>
      <c r="HD33" s="16"/>
      <c r="HE33" s="16"/>
      <c r="HF33" s="16"/>
    </row>
    <row r="34" ht="15.75" customHeight="1">
      <c r="A34" s="1">
        <f t="shared" si="58"/>
        <v>44743</v>
      </c>
      <c r="B34" s="8">
        <v>464.0</v>
      </c>
      <c r="C34" s="23">
        <v>1198.0</v>
      </c>
      <c r="D34" s="9">
        <f t="shared" si="1"/>
        <v>0.387312187</v>
      </c>
      <c r="E34" s="8">
        <v>17.0</v>
      </c>
      <c r="F34" s="8">
        <v>125.0</v>
      </c>
      <c r="G34" s="9">
        <f t="shared" si="2"/>
        <v>0.136</v>
      </c>
      <c r="H34" s="8">
        <v>84.0</v>
      </c>
      <c r="I34" s="8">
        <v>862.0</v>
      </c>
      <c r="J34" s="9">
        <f t="shared" si="3"/>
        <v>0.09744779582</v>
      </c>
      <c r="K34" s="8">
        <v>68.0</v>
      </c>
      <c r="L34" s="8">
        <v>339.0</v>
      </c>
      <c r="M34" s="9">
        <f t="shared" si="61"/>
        <v>0.2005899705</v>
      </c>
      <c r="N34" s="8">
        <v>443.0</v>
      </c>
      <c r="O34" s="8">
        <v>1761.0</v>
      </c>
      <c r="P34" s="9">
        <f t="shared" si="4"/>
        <v>0.2515616127</v>
      </c>
      <c r="Q34" s="8">
        <v>11.0</v>
      </c>
      <c r="T34" s="8">
        <v>76.0</v>
      </c>
      <c r="U34" s="8">
        <v>419.0</v>
      </c>
      <c r="V34" s="9">
        <f t="shared" si="53"/>
        <v>0.1813842482</v>
      </c>
      <c r="W34" s="8">
        <v>61.0</v>
      </c>
      <c r="X34" s="8">
        <v>559.0</v>
      </c>
      <c r="Y34" s="9">
        <f t="shared" si="5"/>
        <v>0.1091234347</v>
      </c>
      <c r="Z34" s="8">
        <v>18.0</v>
      </c>
      <c r="AA34" s="8">
        <v>310.0</v>
      </c>
      <c r="AB34" s="9">
        <f t="shared" si="54"/>
        <v>0.05806451613</v>
      </c>
      <c r="AC34" s="8">
        <v>72.0</v>
      </c>
      <c r="AD34" s="8">
        <v>1230.0</v>
      </c>
      <c r="AE34" s="9">
        <f t="shared" si="55"/>
        <v>0.05853658537</v>
      </c>
      <c r="AF34" s="8">
        <v>23.0</v>
      </c>
      <c r="AG34" s="8">
        <v>358.0</v>
      </c>
      <c r="AH34" s="9">
        <f t="shared" si="6"/>
        <v>0.06424581006</v>
      </c>
      <c r="AI34" s="10">
        <v>10.0</v>
      </c>
      <c r="AJ34" s="8">
        <v>322.0</v>
      </c>
      <c r="AK34" s="9">
        <f t="shared" si="7"/>
        <v>0.03105590062</v>
      </c>
      <c r="AL34" s="16">
        <v>76.0</v>
      </c>
      <c r="AM34" s="16">
        <v>338.0</v>
      </c>
      <c r="AN34" s="17">
        <f t="shared" si="8"/>
        <v>0.224852071</v>
      </c>
      <c r="AO34" s="18">
        <v>7.0</v>
      </c>
      <c r="AP34" s="18">
        <v>94.0</v>
      </c>
      <c r="AQ34" s="17">
        <f t="shared" si="9"/>
        <v>0.07446808511</v>
      </c>
      <c r="AR34" s="16">
        <v>3.0</v>
      </c>
      <c r="AS34" s="16">
        <v>99.0</v>
      </c>
      <c r="AT34" s="17">
        <f t="shared" si="65"/>
        <v>0.0303030303</v>
      </c>
      <c r="AU34" s="16">
        <v>157.0</v>
      </c>
      <c r="AV34" s="16">
        <v>559.0</v>
      </c>
      <c r="AW34" s="17"/>
      <c r="AX34" s="16">
        <v>9.0</v>
      </c>
      <c r="AY34" s="16">
        <v>110.0</v>
      </c>
      <c r="AZ34" s="17">
        <f t="shared" si="10"/>
        <v>0.08181818182</v>
      </c>
      <c r="BA34" s="16">
        <v>21.0</v>
      </c>
      <c r="BB34" s="16">
        <v>124.0</v>
      </c>
      <c r="BC34" s="17">
        <f t="shared" si="11"/>
        <v>0.1693548387</v>
      </c>
      <c r="BD34" s="17"/>
      <c r="BE34" s="16">
        <v>21.0</v>
      </c>
      <c r="BF34" s="17"/>
      <c r="BG34" s="17"/>
      <c r="BH34" s="18">
        <v>72.0</v>
      </c>
      <c r="BI34" s="17"/>
      <c r="BJ34" s="18">
        <v>7.0</v>
      </c>
      <c r="BK34" s="18">
        <v>202.0</v>
      </c>
      <c r="BL34" s="17">
        <f t="shared" si="12"/>
        <v>0.03465346535</v>
      </c>
      <c r="BM34" s="19">
        <v>1.0</v>
      </c>
      <c r="BN34" s="19">
        <v>51.0</v>
      </c>
      <c r="BO34" s="17">
        <f t="shared" si="13"/>
        <v>0.01960784314</v>
      </c>
      <c r="BP34" s="16">
        <v>10.0</v>
      </c>
      <c r="BQ34" s="16">
        <v>85.0</v>
      </c>
      <c r="BR34" s="17">
        <f t="shared" si="14"/>
        <v>0.1176470588</v>
      </c>
      <c r="BS34" s="16">
        <v>14.0</v>
      </c>
      <c r="BT34" s="16">
        <v>135.0</v>
      </c>
      <c r="BU34" s="17">
        <f t="shared" si="15"/>
        <v>0.1037037037</v>
      </c>
      <c r="BV34" s="18">
        <v>11.0</v>
      </c>
      <c r="BW34" s="18">
        <v>82.0</v>
      </c>
      <c r="BX34" s="17">
        <f t="shared" si="16"/>
        <v>0.1341463415</v>
      </c>
      <c r="BY34" s="16">
        <v>0.0</v>
      </c>
      <c r="BZ34" s="16">
        <v>103.0</v>
      </c>
      <c r="CA34" s="13">
        <f t="shared" si="59"/>
        <v>0</v>
      </c>
      <c r="CB34" s="18">
        <v>0.0</v>
      </c>
      <c r="CC34" s="8">
        <v>48.0</v>
      </c>
      <c r="CD34" s="17">
        <f t="shared" si="17"/>
        <v>0</v>
      </c>
      <c r="CE34" s="16">
        <v>13.0</v>
      </c>
      <c r="CF34" s="8">
        <v>307.0</v>
      </c>
      <c r="CG34" s="17">
        <f t="shared" si="18"/>
        <v>0.04234527687</v>
      </c>
      <c r="CH34" s="16">
        <v>0.0</v>
      </c>
      <c r="CI34" s="16">
        <v>16.0</v>
      </c>
      <c r="CJ34" s="17">
        <f t="shared" si="19"/>
        <v>0</v>
      </c>
      <c r="CK34" s="16">
        <v>6.0</v>
      </c>
      <c r="CL34" s="16">
        <v>99.0</v>
      </c>
      <c r="CM34" s="17">
        <f t="shared" si="20"/>
        <v>0.06060606061</v>
      </c>
      <c r="CN34" s="16">
        <v>1.0</v>
      </c>
      <c r="CO34" s="16">
        <v>92.0</v>
      </c>
      <c r="CP34" s="17">
        <f t="shared" si="21"/>
        <v>0.01086956522</v>
      </c>
      <c r="CQ34" s="16">
        <v>18.0</v>
      </c>
      <c r="CR34" s="16">
        <v>478.0</v>
      </c>
      <c r="CS34" s="17">
        <f t="shared" si="22"/>
        <v>0.03765690377</v>
      </c>
      <c r="CT34" s="16">
        <v>6.0</v>
      </c>
      <c r="CU34" s="16">
        <v>122.0</v>
      </c>
      <c r="CV34" s="17">
        <f t="shared" si="23"/>
        <v>0.04918032787</v>
      </c>
      <c r="CW34" s="16">
        <v>0.0</v>
      </c>
      <c r="CX34" s="16">
        <v>48.0</v>
      </c>
      <c r="CY34" s="17">
        <f t="shared" si="24"/>
        <v>0</v>
      </c>
      <c r="CZ34" s="16">
        <v>167.0</v>
      </c>
      <c r="DA34" s="16">
        <v>324.0</v>
      </c>
      <c r="DB34" s="17">
        <f t="shared" si="56"/>
        <v>0.5154320988</v>
      </c>
      <c r="DC34" s="16">
        <v>5.0</v>
      </c>
      <c r="DD34" s="16">
        <v>71.0</v>
      </c>
      <c r="DE34" s="17">
        <f t="shared" si="25"/>
        <v>0.07042253521</v>
      </c>
      <c r="DF34" s="16">
        <v>13.0</v>
      </c>
      <c r="DG34" s="16">
        <v>71.0</v>
      </c>
      <c r="DH34" s="17">
        <f t="shared" si="62"/>
        <v>0.1830985915</v>
      </c>
      <c r="DI34" s="16">
        <v>2.0</v>
      </c>
      <c r="DJ34" s="16">
        <v>163.0</v>
      </c>
      <c r="DK34" s="17">
        <f t="shared" si="26"/>
        <v>0.01226993865</v>
      </c>
      <c r="DL34" s="16">
        <v>3.0</v>
      </c>
      <c r="DM34" s="16">
        <v>30.0</v>
      </c>
      <c r="DN34" s="17">
        <f t="shared" si="27"/>
        <v>0.1</v>
      </c>
      <c r="DO34" s="16">
        <v>6.0</v>
      </c>
      <c r="DP34" s="16">
        <v>99.0</v>
      </c>
      <c r="DQ34" s="17">
        <f t="shared" si="28"/>
        <v>0.06060606061</v>
      </c>
      <c r="DR34" s="16">
        <v>3.0</v>
      </c>
      <c r="DS34" s="16">
        <v>67.0</v>
      </c>
      <c r="DT34" s="17">
        <f t="shared" si="29"/>
        <v>0.0447761194</v>
      </c>
      <c r="DU34" s="16">
        <v>25.0</v>
      </c>
      <c r="DV34" s="16">
        <v>311.0</v>
      </c>
      <c r="DW34" s="17">
        <f t="shared" si="57"/>
        <v>0.08038585209</v>
      </c>
      <c r="DX34" s="16">
        <v>0.0</v>
      </c>
      <c r="DY34" s="16">
        <v>20.0</v>
      </c>
      <c r="DZ34" s="17">
        <f t="shared" si="30"/>
        <v>0</v>
      </c>
      <c r="EA34" s="22">
        <v>35.0</v>
      </c>
      <c r="EB34" s="16">
        <v>494.0</v>
      </c>
      <c r="EC34" s="17">
        <f t="shared" si="31"/>
        <v>0.07085020243</v>
      </c>
      <c r="ED34" s="16">
        <v>3.0</v>
      </c>
      <c r="EE34" s="16">
        <v>32.0</v>
      </c>
      <c r="EF34" s="17">
        <f t="shared" si="32"/>
        <v>0.09375</v>
      </c>
      <c r="EG34" s="16">
        <v>6.0</v>
      </c>
      <c r="EH34" s="16">
        <v>58.0</v>
      </c>
      <c r="EI34" s="17">
        <f t="shared" si="33"/>
        <v>0.1034482759</v>
      </c>
      <c r="EJ34" s="16">
        <v>20.0</v>
      </c>
      <c r="EK34" s="16">
        <v>615.0</v>
      </c>
      <c r="EL34" s="17">
        <f t="shared" si="34"/>
        <v>0.0325203252</v>
      </c>
      <c r="EM34" s="16">
        <v>0.0</v>
      </c>
      <c r="EN34" s="16">
        <v>10.0</v>
      </c>
      <c r="EO34" s="17">
        <f t="shared" si="35"/>
        <v>0</v>
      </c>
      <c r="EP34" s="16">
        <v>4.0</v>
      </c>
      <c r="EQ34" s="16">
        <v>174.0</v>
      </c>
      <c r="ER34" s="17">
        <f t="shared" si="60"/>
        <v>0.02298850575</v>
      </c>
      <c r="ES34" s="16">
        <v>10.0</v>
      </c>
      <c r="ET34" s="16">
        <v>87.0</v>
      </c>
      <c r="EU34" s="17">
        <f t="shared" si="36"/>
        <v>0.1149425287</v>
      </c>
      <c r="EV34" s="16">
        <v>33.0</v>
      </c>
      <c r="EW34" s="16">
        <v>94.0</v>
      </c>
      <c r="EX34" s="17">
        <f t="shared" si="64"/>
        <v>0.3510638298</v>
      </c>
      <c r="EY34" s="16">
        <v>470.0</v>
      </c>
      <c r="EZ34" s="16">
        <v>787.0</v>
      </c>
      <c r="FA34" s="17">
        <f t="shared" si="37"/>
        <v>0.5972045743</v>
      </c>
      <c r="FB34" s="16">
        <v>488.0</v>
      </c>
      <c r="FC34" s="16">
        <v>2116.0</v>
      </c>
      <c r="FD34" s="17">
        <f t="shared" si="38"/>
        <v>0.2246777164</v>
      </c>
      <c r="FE34" s="8">
        <v>7.0</v>
      </c>
      <c r="FF34" s="16">
        <v>112.0</v>
      </c>
      <c r="FG34" s="17">
        <f t="shared" si="39"/>
        <v>0.0625</v>
      </c>
      <c r="FH34" s="16">
        <v>13.0</v>
      </c>
      <c r="FI34" s="16">
        <v>99.0</v>
      </c>
      <c r="FJ34" s="17">
        <f t="shared" si="40"/>
        <v>0.1313131313</v>
      </c>
      <c r="FK34" s="16">
        <v>2.0</v>
      </c>
      <c r="FL34" s="16">
        <v>67.0</v>
      </c>
      <c r="FM34" s="17">
        <f t="shared" si="41"/>
        <v>0.02985074627</v>
      </c>
      <c r="FN34" s="16">
        <v>33.0</v>
      </c>
      <c r="FO34" s="16">
        <v>107.0</v>
      </c>
      <c r="FP34" s="17">
        <f t="shared" si="42"/>
        <v>0.308411215</v>
      </c>
      <c r="FQ34" s="16">
        <v>8.0</v>
      </c>
      <c r="FR34" s="16">
        <v>66.0</v>
      </c>
      <c r="FS34" s="17">
        <f t="shared" si="43"/>
        <v>0.1212121212</v>
      </c>
      <c r="FT34" s="16">
        <v>52.0</v>
      </c>
      <c r="FU34" s="16"/>
      <c r="FV34" s="16"/>
      <c r="FW34" s="16">
        <v>10.0</v>
      </c>
      <c r="FX34" s="16">
        <v>53.0</v>
      </c>
      <c r="FY34" s="17">
        <f t="shared" si="44"/>
        <v>0.1886792453</v>
      </c>
      <c r="FZ34" s="16">
        <v>9.0</v>
      </c>
      <c r="GA34" s="16"/>
      <c r="GB34" s="16"/>
      <c r="GC34" s="16">
        <v>2.0</v>
      </c>
      <c r="GD34" s="16">
        <v>178.0</v>
      </c>
      <c r="GE34" s="17">
        <f t="shared" si="45"/>
        <v>0.01123595506</v>
      </c>
      <c r="GF34" s="16">
        <v>16.0</v>
      </c>
      <c r="GG34" s="16">
        <v>153.0</v>
      </c>
      <c r="GH34" s="17">
        <f t="shared" si="46"/>
        <v>0.1045751634</v>
      </c>
      <c r="GI34" s="16">
        <v>246.0</v>
      </c>
      <c r="GJ34" s="16">
        <v>722.0</v>
      </c>
      <c r="GK34" s="17">
        <f t="shared" si="47"/>
        <v>0.3407202216</v>
      </c>
      <c r="GL34" s="16">
        <v>23.0</v>
      </c>
      <c r="GM34" s="16">
        <v>133.0</v>
      </c>
      <c r="GN34" s="17">
        <f t="shared" si="63"/>
        <v>0.1729323308</v>
      </c>
      <c r="GO34" s="16">
        <v>10.0</v>
      </c>
      <c r="GP34" s="16">
        <v>33.0</v>
      </c>
      <c r="GQ34" s="17">
        <f t="shared" si="49"/>
        <v>0.303030303</v>
      </c>
      <c r="GR34" s="16">
        <v>6.0</v>
      </c>
      <c r="GS34" s="16">
        <v>47.0</v>
      </c>
      <c r="GT34" s="17">
        <f t="shared" si="50"/>
        <v>0.1276595745</v>
      </c>
      <c r="GU34" s="8">
        <v>2.0</v>
      </c>
      <c r="GV34" s="16">
        <v>32.0</v>
      </c>
      <c r="GW34" s="17">
        <f t="shared" si="51"/>
        <v>0.0625</v>
      </c>
      <c r="GX34" s="16">
        <v>80.0</v>
      </c>
      <c r="GY34" s="16">
        <v>901.0</v>
      </c>
      <c r="GZ34" s="16"/>
      <c r="HA34" s="16">
        <v>16.0</v>
      </c>
      <c r="HB34" s="16">
        <v>203.0</v>
      </c>
      <c r="HC34" s="17">
        <f t="shared" si="52"/>
        <v>0.07881773399</v>
      </c>
      <c r="HD34" s="16"/>
      <c r="HE34" s="16"/>
      <c r="HF34" s="16"/>
    </row>
    <row r="35" ht="15.75" customHeight="1">
      <c r="A35" s="1">
        <f t="shared" si="58"/>
        <v>44774</v>
      </c>
      <c r="B35" s="8">
        <v>386.0</v>
      </c>
      <c r="C35" s="23">
        <v>1176.0</v>
      </c>
      <c r="D35" s="9">
        <f t="shared" si="1"/>
        <v>0.3282312925</v>
      </c>
      <c r="E35" s="8">
        <v>25.0</v>
      </c>
      <c r="F35" s="8">
        <v>119.0</v>
      </c>
      <c r="G35" s="9">
        <f t="shared" si="2"/>
        <v>0.2100840336</v>
      </c>
      <c r="H35" s="8">
        <v>183.0</v>
      </c>
      <c r="I35" s="8">
        <v>939.0</v>
      </c>
      <c r="J35" s="9">
        <f t="shared" si="3"/>
        <v>0.1948881789</v>
      </c>
      <c r="K35" s="8">
        <v>57.0</v>
      </c>
      <c r="L35" s="8">
        <v>249.0</v>
      </c>
      <c r="M35" s="9">
        <f t="shared" si="61"/>
        <v>0.2289156627</v>
      </c>
      <c r="N35" s="8">
        <v>660.0</v>
      </c>
      <c r="O35" s="8">
        <v>2112.0</v>
      </c>
      <c r="P35" s="9">
        <f t="shared" si="4"/>
        <v>0.3125</v>
      </c>
      <c r="Q35" s="8">
        <v>17.0</v>
      </c>
      <c r="T35" s="8">
        <v>60.0</v>
      </c>
      <c r="U35" s="8">
        <v>369.0</v>
      </c>
      <c r="V35" s="9">
        <f t="shared" si="53"/>
        <v>0.162601626</v>
      </c>
      <c r="W35" s="8">
        <v>51.0</v>
      </c>
      <c r="X35" s="8">
        <v>494.0</v>
      </c>
      <c r="Y35" s="9">
        <f t="shared" si="5"/>
        <v>0.1032388664</v>
      </c>
      <c r="Z35" s="8">
        <v>11.0</v>
      </c>
      <c r="AA35" s="8">
        <v>284.0</v>
      </c>
      <c r="AB35" s="9">
        <f t="shared" si="54"/>
        <v>0.03873239437</v>
      </c>
      <c r="AC35" s="8">
        <v>48.0</v>
      </c>
      <c r="AD35" s="8">
        <v>1167.0</v>
      </c>
      <c r="AE35" s="9">
        <f t="shared" si="55"/>
        <v>0.0411311054</v>
      </c>
      <c r="AF35" s="8">
        <v>14.0</v>
      </c>
      <c r="AG35" s="8">
        <v>382.0</v>
      </c>
      <c r="AH35" s="9">
        <f t="shared" si="6"/>
        <v>0.03664921466</v>
      </c>
      <c r="AI35" s="10">
        <v>9.0</v>
      </c>
      <c r="AJ35" s="8">
        <v>261.0</v>
      </c>
      <c r="AK35" s="9">
        <f t="shared" si="7"/>
        <v>0.03448275862</v>
      </c>
      <c r="AL35" s="16">
        <v>90.0</v>
      </c>
      <c r="AM35" s="16">
        <v>337.0</v>
      </c>
      <c r="AN35" s="17">
        <f t="shared" si="8"/>
        <v>0.2670623145</v>
      </c>
      <c r="AO35" s="18">
        <v>4.0</v>
      </c>
      <c r="AP35" s="18">
        <v>113.0</v>
      </c>
      <c r="AQ35" s="17">
        <f t="shared" si="9"/>
        <v>0.03539823009</v>
      </c>
      <c r="AR35" s="16">
        <v>1.0</v>
      </c>
      <c r="AS35" s="16">
        <v>118.0</v>
      </c>
      <c r="AT35" s="17">
        <f t="shared" si="65"/>
        <v>0.008474576271</v>
      </c>
      <c r="AU35" s="16">
        <v>96.0</v>
      </c>
      <c r="AV35" s="16">
        <v>485.0</v>
      </c>
      <c r="AW35" s="17"/>
      <c r="AX35" s="16">
        <v>4.0</v>
      </c>
      <c r="AY35" s="16">
        <v>81.0</v>
      </c>
      <c r="AZ35" s="17">
        <f t="shared" si="10"/>
        <v>0.04938271605</v>
      </c>
      <c r="BA35" s="16">
        <v>12.0</v>
      </c>
      <c r="BB35" s="16">
        <v>99.0</v>
      </c>
      <c r="BC35" s="17">
        <f t="shared" si="11"/>
        <v>0.1212121212</v>
      </c>
      <c r="BD35" s="17"/>
      <c r="BE35" s="16">
        <v>8.0</v>
      </c>
      <c r="BF35" s="17"/>
      <c r="BG35" s="17"/>
      <c r="BH35" s="18">
        <v>77.0</v>
      </c>
      <c r="BI35" s="17"/>
      <c r="BJ35" s="18">
        <v>3.0</v>
      </c>
      <c r="BK35" s="18">
        <v>207.0</v>
      </c>
      <c r="BL35" s="17">
        <f t="shared" si="12"/>
        <v>0.01449275362</v>
      </c>
      <c r="BM35" s="19">
        <v>1.0</v>
      </c>
      <c r="BN35" s="19">
        <v>42.0</v>
      </c>
      <c r="BO35" s="17">
        <f t="shared" si="13"/>
        <v>0.02380952381</v>
      </c>
      <c r="BP35" s="16">
        <v>5.0</v>
      </c>
      <c r="BQ35" s="16">
        <v>134.0</v>
      </c>
      <c r="BR35" s="17">
        <f t="shared" si="14"/>
        <v>0.03731343284</v>
      </c>
      <c r="BS35" s="16">
        <v>50.0</v>
      </c>
      <c r="BT35" s="16">
        <v>150.0</v>
      </c>
      <c r="BU35" s="17">
        <f t="shared" si="15"/>
        <v>0.3333333333</v>
      </c>
      <c r="BV35" s="18">
        <v>8.0</v>
      </c>
      <c r="BW35" s="18">
        <v>70.0</v>
      </c>
      <c r="BX35" s="17">
        <f t="shared" si="16"/>
        <v>0.1142857143</v>
      </c>
      <c r="BY35" s="16">
        <v>1.0</v>
      </c>
      <c r="BZ35" s="16">
        <v>77.0</v>
      </c>
      <c r="CA35" s="13">
        <f t="shared" si="59"/>
        <v>0.01298701299</v>
      </c>
      <c r="CB35" s="18">
        <v>1.0</v>
      </c>
      <c r="CC35" s="8">
        <v>36.0</v>
      </c>
      <c r="CD35" s="17">
        <f t="shared" si="17"/>
        <v>0.02777777778</v>
      </c>
      <c r="CE35" s="16">
        <v>14.0</v>
      </c>
      <c r="CF35" s="8">
        <v>335.0</v>
      </c>
      <c r="CG35" s="17">
        <f t="shared" si="18"/>
        <v>0.04179104478</v>
      </c>
      <c r="CH35" s="16">
        <v>0.0</v>
      </c>
      <c r="CI35" s="16">
        <v>7.0</v>
      </c>
      <c r="CJ35" s="17">
        <f t="shared" si="19"/>
        <v>0</v>
      </c>
      <c r="CK35" s="16">
        <v>4.0</v>
      </c>
      <c r="CL35" s="16">
        <v>91.0</v>
      </c>
      <c r="CM35" s="17">
        <f t="shared" si="20"/>
        <v>0.04395604396</v>
      </c>
      <c r="CN35" s="16">
        <v>4.0</v>
      </c>
      <c r="CO35" s="16">
        <v>94.0</v>
      </c>
      <c r="CP35" s="17">
        <f t="shared" si="21"/>
        <v>0.04255319149</v>
      </c>
      <c r="CQ35" s="16">
        <v>12.0</v>
      </c>
      <c r="CR35" s="16">
        <v>502.0</v>
      </c>
      <c r="CS35" s="17">
        <f t="shared" si="22"/>
        <v>0.02390438247</v>
      </c>
      <c r="CT35" s="16">
        <v>7.0</v>
      </c>
      <c r="CU35" s="16">
        <v>139.0</v>
      </c>
      <c r="CV35" s="17">
        <f t="shared" si="23"/>
        <v>0.05035971223</v>
      </c>
      <c r="CW35" s="16">
        <v>1.0</v>
      </c>
      <c r="CX35" s="16">
        <v>36.0</v>
      </c>
      <c r="CY35" s="17">
        <f t="shared" si="24"/>
        <v>0.02777777778</v>
      </c>
      <c r="CZ35" s="16">
        <v>155.0</v>
      </c>
      <c r="DA35" s="16">
        <v>281.0</v>
      </c>
      <c r="DB35" s="17">
        <f t="shared" si="56"/>
        <v>0.5516014235</v>
      </c>
      <c r="DC35" s="16">
        <v>7.0</v>
      </c>
      <c r="DD35" s="16">
        <v>76.0</v>
      </c>
      <c r="DE35" s="17">
        <f t="shared" si="25"/>
        <v>0.09210526316</v>
      </c>
      <c r="DF35" s="16">
        <v>14.0</v>
      </c>
      <c r="DG35" s="16">
        <v>85.0</v>
      </c>
      <c r="DH35" s="17">
        <f t="shared" si="62"/>
        <v>0.1647058824</v>
      </c>
      <c r="DI35" s="16">
        <v>11.0</v>
      </c>
      <c r="DJ35" s="16">
        <v>168.0</v>
      </c>
      <c r="DK35" s="17">
        <f t="shared" si="26"/>
        <v>0.06547619048</v>
      </c>
      <c r="DL35" s="16">
        <v>3.0</v>
      </c>
      <c r="DM35" s="16">
        <v>24.0</v>
      </c>
      <c r="DN35" s="17">
        <f t="shared" si="27"/>
        <v>0.125</v>
      </c>
      <c r="DO35" s="16">
        <v>1.0</v>
      </c>
      <c r="DP35" s="16">
        <v>93.0</v>
      </c>
      <c r="DQ35" s="17">
        <f t="shared" si="28"/>
        <v>0.01075268817</v>
      </c>
      <c r="DR35" s="16">
        <v>5.0</v>
      </c>
      <c r="DS35" s="16">
        <v>98.0</v>
      </c>
      <c r="DT35" s="17">
        <f t="shared" si="29"/>
        <v>0.05102040816</v>
      </c>
      <c r="DU35" s="16">
        <v>32.0</v>
      </c>
      <c r="DV35" s="16">
        <v>315.0</v>
      </c>
      <c r="DW35" s="17">
        <f t="shared" si="57"/>
        <v>0.1015873016</v>
      </c>
      <c r="DX35" s="16">
        <v>0.0</v>
      </c>
      <c r="DY35" s="16">
        <v>23.0</v>
      </c>
      <c r="DZ35" s="17">
        <f t="shared" si="30"/>
        <v>0</v>
      </c>
      <c r="EA35" s="22">
        <v>40.0</v>
      </c>
      <c r="EB35" s="16">
        <v>475.0</v>
      </c>
      <c r="EC35" s="17">
        <f t="shared" si="31"/>
        <v>0.08421052632</v>
      </c>
      <c r="ED35" s="16">
        <v>2.0</v>
      </c>
      <c r="EE35" s="16">
        <v>30.0</v>
      </c>
      <c r="EF35" s="17">
        <f t="shared" si="32"/>
        <v>0.06666666667</v>
      </c>
      <c r="EG35" s="16">
        <v>2.0</v>
      </c>
      <c r="EH35" s="16">
        <v>55.0</v>
      </c>
      <c r="EI35" s="17">
        <f t="shared" si="33"/>
        <v>0.03636363636</v>
      </c>
      <c r="EJ35" s="16">
        <v>28.0</v>
      </c>
      <c r="EK35" s="16">
        <v>636.0</v>
      </c>
      <c r="EL35" s="17">
        <f t="shared" si="34"/>
        <v>0.04402515723</v>
      </c>
      <c r="EM35" s="16">
        <v>0.0</v>
      </c>
      <c r="EN35" s="16">
        <v>11.0</v>
      </c>
      <c r="EO35" s="17">
        <f t="shared" si="35"/>
        <v>0</v>
      </c>
      <c r="EP35" s="16">
        <v>16.0</v>
      </c>
      <c r="EQ35" s="16">
        <v>200.0</v>
      </c>
      <c r="ER35" s="17">
        <f t="shared" si="60"/>
        <v>0.08</v>
      </c>
      <c r="ES35" s="16">
        <v>9.0</v>
      </c>
      <c r="ET35" s="16">
        <v>130.0</v>
      </c>
      <c r="EU35" s="17">
        <f t="shared" si="36"/>
        <v>0.06923076923</v>
      </c>
      <c r="EV35" s="16">
        <v>13.0</v>
      </c>
      <c r="EW35" s="16">
        <v>64.0</v>
      </c>
      <c r="EX35" s="17">
        <f t="shared" si="64"/>
        <v>0.203125</v>
      </c>
      <c r="EY35" s="16">
        <v>388.0</v>
      </c>
      <c r="EZ35" s="16">
        <v>702.0</v>
      </c>
      <c r="FA35" s="17">
        <f t="shared" si="37"/>
        <v>0.5527065527</v>
      </c>
      <c r="FB35" s="16">
        <v>491.0</v>
      </c>
      <c r="FC35" s="16">
        <v>2172.0</v>
      </c>
      <c r="FD35" s="17">
        <f t="shared" si="38"/>
        <v>0.2390457644</v>
      </c>
      <c r="FE35" s="8">
        <v>5.0</v>
      </c>
      <c r="FF35" s="16">
        <v>104.0</v>
      </c>
      <c r="FG35" s="17">
        <f t="shared" si="39"/>
        <v>0.04807692308</v>
      </c>
      <c r="FH35" s="16">
        <v>10.0</v>
      </c>
      <c r="FI35" s="16">
        <v>104.0</v>
      </c>
      <c r="FJ35" s="17">
        <f t="shared" si="40"/>
        <v>0.09615384615</v>
      </c>
      <c r="FK35" s="16">
        <v>0.0</v>
      </c>
      <c r="FL35" s="16">
        <v>70.0</v>
      </c>
      <c r="FM35" s="17">
        <f t="shared" si="41"/>
        <v>0</v>
      </c>
      <c r="FN35" s="16">
        <v>26.0</v>
      </c>
      <c r="FO35" s="16">
        <v>111.0</v>
      </c>
      <c r="FP35" s="17">
        <f t="shared" si="42"/>
        <v>0.2342342342</v>
      </c>
      <c r="FQ35" s="16">
        <v>7.0</v>
      </c>
      <c r="FR35" s="16">
        <v>90.0</v>
      </c>
      <c r="FS35" s="17">
        <f t="shared" si="43"/>
        <v>0.07777777778</v>
      </c>
      <c r="FT35" s="16">
        <v>54.0</v>
      </c>
      <c r="FU35" s="16"/>
      <c r="FV35" s="16"/>
      <c r="FW35" s="16">
        <v>5.0</v>
      </c>
      <c r="FX35" s="16">
        <v>50.0</v>
      </c>
      <c r="FY35" s="17">
        <f t="shared" si="44"/>
        <v>0.1</v>
      </c>
      <c r="FZ35" s="16">
        <v>7.0</v>
      </c>
      <c r="GA35" s="16"/>
      <c r="GB35" s="16"/>
      <c r="GC35" s="16">
        <v>1.0</v>
      </c>
      <c r="GD35" s="16">
        <v>204.0</v>
      </c>
      <c r="GE35" s="17">
        <f t="shared" si="45"/>
        <v>0.004901960784</v>
      </c>
      <c r="GF35" s="16">
        <v>5.0</v>
      </c>
      <c r="GG35" s="16">
        <v>116.0</v>
      </c>
      <c r="GH35" s="17">
        <f t="shared" si="46"/>
        <v>0.04310344828</v>
      </c>
      <c r="GI35" s="16">
        <v>205.0</v>
      </c>
      <c r="GJ35" s="16">
        <v>675.0</v>
      </c>
      <c r="GK35" s="17">
        <f t="shared" si="47"/>
        <v>0.3037037037</v>
      </c>
      <c r="GL35" s="16">
        <v>31.0</v>
      </c>
      <c r="GM35" s="16">
        <v>158.0</v>
      </c>
      <c r="GN35" s="17">
        <f t="shared" si="63"/>
        <v>0.1962025316</v>
      </c>
      <c r="GO35" s="16">
        <v>16.0</v>
      </c>
      <c r="GP35" s="16">
        <v>33.0</v>
      </c>
      <c r="GQ35" s="17">
        <f t="shared" si="49"/>
        <v>0.4848484848</v>
      </c>
      <c r="GR35" s="16">
        <v>17.0</v>
      </c>
      <c r="GS35" s="16">
        <v>86.0</v>
      </c>
      <c r="GT35" s="17">
        <f t="shared" si="50"/>
        <v>0.1976744186</v>
      </c>
      <c r="GU35" s="8">
        <v>0.0</v>
      </c>
      <c r="GV35" s="16">
        <v>23.0</v>
      </c>
      <c r="GW35" s="17">
        <f t="shared" si="51"/>
        <v>0</v>
      </c>
      <c r="GX35" s="16">
        <v>92.0</v>
      </c>
      <c r="GY35" s="16">
        <v>803.0</v>
      </c>
      <c r="GZ35" s="16"/>
      <c r="HA35" s="16">
        <v>38.0</v>
      </c>
      <c r="HB35" s="16">
        <v>312.0</v>
      </c>
      <c r="HC35" s="17">
        <f t="shared" si="52"/>
        <v>0.1217948718</v>
      </c>
      <c r="HD35" s="16"/>
      <c r="HE35" s="16"/>
      <c r="HF35" s="16"/>
    </row>
    <row r="36" ht="15.75" customHeight="1">
      <c r="A36" s="1">
        <f t="shared" si="58"/>
        <v>44805</v>
      </c>
      <c r="B36" s="8">
        <v>427.0</v>
      </c>
      <c r="C36" s="23">
        <v>1229.0</v>
      </c>
      <c r="D36" s="9">
        <f t="shared" si="1"/>
        <v>0.3474369406</v>
      </c>
      <c r="E36" s="8">
        <v>8.0</v>
      </c>
      <c r="F36" s="8">
        <v>137.0</v>
      </c>
      <c r="G36" s="9">
        <f t="shared" si="2"/>
        <v>0.05839416058</v>
      </c>
      <c r="H36" s="8">
        <v>124.0</v>
      </c>
      <c r="I36" s="8">
        <v>861.0</v>
      </c>
      <c r="J36" s="9">
        <f t="shared" si="3"/>
        <v>0.144018583</v>
      </c>
      <c r="K36" s="8">
        <v>60.0</v>
      </c>
      <c r="L36" s="8">
        <v>246.0</v>
      </c>
      <c r="M36" s="9">
        <f t="shared" si="61"/>
        <v>0.243902439</v>
      </c>
      <c r="N36" s="8">
        <v>882.0</v>
      </c>
      <c r="O36" s="8">
        <v>2411.0</v>
      </c>
      <c r="P36" s="9">
        <f t="shared" si="4"/>
        <v>0.3658233098</v>
      </c>
      <c r="Q36" s="8">
        <v>5.0</v>
      </c>
      <c r="T36" s="8">
        <v>57.0</v>
      </c>
      <c r="U36" s="8">
        <v>361.0</v>
      </c>
      <c r="V36" s="9">
        <f t="shared" si="53"/>
        <v>0.1578947368</v>
      </c>
      <c r="W36" s="8">
        <v>93.0</v>
      </c>
      <c r="X36" s="8">
        <v>561.0</v>
      </c>
      <c r="Y36" s="9">
        <f t="shared" si="5"/>
        <v>0.1657754011</v>
      </c>
      <c r="Z36" s="8">
        <v>29.0</v>
      </c>
      <c r="AA36" s="8">
        <v>303.0</v>
      </c>
      <c r="AB36" s="9">
        <f t="shared" si="54"/>
        <v>0.09570957096</v>
      </c>
      <c r="AC36" s="8">
        <v>54.0</v>
      </c>
      <c r="AD36" s="8">
        <v>1108.0</v>
      </c>
      <c r="AE36" s="9">
        <f t="shared" si="55"/>
        <v>0.04873646209</v>
      </c>
      <c r="AF36" s="8">
        <v>17.0</v>
      </c>
      <c r="AG36" s="8">
        <v>295.0</v>
      </c>
      <c r="AH36" s="9">
        <f t="shared" si="6"/>
        <v>0.05762711864</v>
      </c>
      <c r="AI36" s="10">
        <v>14.0</v>
      </c>
      <c r="AJ36" s="8">
        <v>351.0</v>
      </c>
      <c r="AK36" s="9">
        <f t="shared" si="7"/>
        <v>0.03988603989</v>
      </c>
      <c r="AL36" s="16">
        <v>31.0</v>
      </c>
      <c r="AM36" s="16">
        <v>333.0</v>
      </c>
      <c r="AN36" s="17">
        <f t="shared" si="8"/>
        <v>0.09309309309</v>
      </c>
      <c r="AO36" s="18">
        <v>11.0</v>
      </c>
      <c r="AP36" s="18">
        <v>123.0</v>
      </c>
      <c r="AQ36" s="17">
        <f t="shared" si="9"/>
        <v>0.08943089431</v>
      </c>
      <c r="AR36" s="16">
        <v>1.0</v>
      </c>
      <c r="AS36" s="16">
        <v>88.0</v>
      </c>
      <c r="AT36" s="17">
        <f t="shared" si="65"/>
        <v>0.01136363636</v>
      </c>
      <c r="AU36" s="16">
        <v>234.0</v>
      </c>
      <c r="AV36" s="16">
        <v>765.0</v>
      </c>
      <c r="AW36" s="17"/>
      <c r="AX36" s="16">
        <v>1.0</v>
      </c>
      <c r="AY36" s="16">
        <v>98.0</v>
      </c>
      <c r="AZ36" s="17">
        <f t="shared" si="10"/>
        <v>0.01020408163</v>
      </c>
      <c r="BA36" s="16">
        <v>3.0</v>
      </c>
      <c r="BB36" s="16">
        <v>43.0</v>
      </c>
      <c r="BC36" s="17">
        <f t="shared" si="11"/>
        <v>0.06976744186</v>
      </c>
      <c r="BD36" s="17"/>
      <c r="BE36" s="16">
        <v>23.0</v>
      </c>
      <c r="BF36" s="17"/>
      <c r="BG36" s="17"/>
      <c r="BH36" s="18">
        <v>70.0</v>
      </c>
      <c r="BI36" s="17"/>
      <c r="BJ36" s="18">
        <v>11.0</v>
      </c>
      <c r="BK36" s="18">
        <v>200.0</v>
      </c>
      <c r="BL36" s="17">
        <f t="shared" si="12"/>
        <v>0.055</v>
      </c>
      <c r="BM36" s="19">
        <v>2.0</v>
      </c>
      <c r="BN36" s="19">
        <v>32.0</v>
      </c>
      <c r="BO36" s="17">
        <f t="shared" si="13"/>
        <v>0.0625</v>
      </c>
      <c r="BP36" s="16">
        <v>10.0</v>
      </c>
      <c r="BQ36" s="16">
        <v>99.0</v>
      </c>
      <c r="BR36" s="17">
        <f t="shared" si="14"/>
        <v>0.101010101</v>
      </c>
      <c r="BS36" s="16">
        <v>46.0</v>
      </c>
      <c r="BT36" s="16">
        <v>159.0</v>
      </c>
      <c r="BU36" s="17">
        <f t="shared" si="15"/>
        <v>0.2893081761</v>
      </c>
      <c r="BV36" s="18">
        <v>16.0</v>
      </c>
      <c r="BW36" s="18">
        <v>94.0</v>
      </c>
      <c r="BX36" s="17">
        <f t="shared" si="16"/>
        <v>0.170212766</v>
      </c>
      <c r="BY36" s="16">
        <v>3.0</v>
      </c>
      <c r="BZ36" s="16">
        <v>106.0</v>
      </c>
      <c r="CA36" s="13">
        <f t="shared" si="59"/>
        <v>0.02830188679</v>
      </c>
      <c r="CB36" s="18">
        <v>1.0</v>
      </c>
      <c r="CC36" s="18">
        <v>50.0</v>
      </c>
      <c r="CD36" s="17">
        <f t="shared" si="17"/>
        <v>0.02</v>
      </c>
      <c r="CE36" s="16">
        <v>29.0</v>
      </c>
      <c r="CF36" s="8">
        <v>386.0</v>
      </c>
      <c r="CG36" s="17">
        <f t="shared" si="18"/>
        <v>0.07512953368</v>
      </c>
      <c r="CH36" s="16">
        <v>2.0</v>
      </c>
      <c r="CI36" s="16">
        <v>15.0</v>
      </c>
      <c r="CJ36" s="17">
        <f t="shared" si="19"/>
        <v>0.1333333333</v>
      </c>
      <c r="CK36" s="16">
        <v>5.0</v>
      </c>
      <c r="CL36" s="16">
        <v>87.0</v>
      </c>
      <c r="CM36" s="17">
        <f t="shared" si="20"/>
        <v>0.05747126437</v>
      </c>
      <c r="CN36" s="16">
        <v>2.0</v>
      </c>
      <c r="CO36" s="16">
        <v>92.0</v>
      </c>
      <c r="CP36" s="17">
        <f t="shared" si="21"/>
        <v>0.02173913043</v>
      </c>
      <c r="CQ36" s="16">
        <v>14.0</v>
      </c>
      <c r="CR36" s="16">
        <v>540.0</v>
      </c>
      <c r="CS36" s="17">
        <f t="shared" si="22"/>
        <v>0.02592592593</v>
      </c>
      <c r="CT36" s="16">
        <v>1.0</v>
      </c>
      <c r="CU36" s="16">
        <v>106.0</v>
      </c>
      <c r="CV36" s="17">
        <f t="shared" si="23"/>
        <v>0.009433962264</v>
      </c>
      <c r="CW36" s="16">
        <v>1.0</v>
      </c>
      <c r="CX36" s="16">
        <v>50.0</v>
      </c>
      <c r="CY36" s="17">
        <f t="shared" si="24"/>
        <v>0.02</v>
      </c>
      <c r="CZ36" s="16">
        <v>100.0</v>
      </c>
      <c r="DA36" s="16">
        <v>229.0</v>
      </c>
      <c r="DB36" s="17">
        <f t="shared" si="56"/>
        <v>0.4366812227</v>
      </c>
      <c r="DC36" s="16">
        <v>5.0</v>
      </c>
      <c r="DD36" s="16">
        <v>97.0</v>
      </c>
      <c r="DE36" s="17">
        <f t="shared" si="25"/>
        <v>0.05154639175</v>
      </c>
      <c r="DF36" s="16">
        <v>15.0</v>
      </c>
      <c r="DG36" s="16">
        <v>78.0</v>
      </c>
      <c r="DH36" s="17">
        <f t="shared" si="62"/>
        <v>0.1923076923</v>
      </c>
      <c r="DI36" s="16">
        <v>10.0</v>
      </c>
      <c r="DJ36" s="16">
        <v>186.0</v>
      </c>
      <c r="DK36" s="17">
        <f t="shared" si="26"/>
        <v>0.05376344086</v>
      </c>
      <c r="DL36" s="16">
        <v>4.0</v>
      </c>
      <c r="DM36" s="16">
        <v>36.0</v>
      </c>
      <c r="DN36" s="17">
        <f t="shared" si="27"/>
        <v>0.1111111111</v>
      </c>
      <c r="DO36" s="16">
        <v>6.0</v>
      </c>
      <c r="DP36" s="16">
        <v>74.0</v>
      </c>
      <c r="DQ36" s="17">
        <f t="shared" si="28"/>
        <v>0.08108108108</v>
      </c>
      <c r="DR36" s="16">
        <v>8.0</v>
      </c>
      <c r="DS36" s="16">
        <v>73.0</v>
      </c>
      <c r="DT36" s="17">
        <f t="shared" si="29"/>
        <v>0.1095890411</v>
      </c>
      <c r="DU36" s="16">
        <v>25.0</v>
      </c>
      <c r="DV36" s="16">
        <v>330.0</v>
      </c>
      <c r="DW36" s="17">
        <f t="shared" si="57"/>
        <v>0.07575757576</v>
      </c>
      <c r="DX36" s="16">
        <v>1.0</v>
      </c>
      <c r="DY36" s="16">
        <v>10.0</v>
      </c>
      <c r="DZ36" s="17">
        <f t="shared" si="30"/>
        <v>0.1</v>
      </c>
      <c r="EA36" s="22">
        <v>53.0</v>
      </c>
      <c r="EB36" s="16">
        <v>470.0</v>
      </c>
      <c r="EC36" s="17">
        <f t="shared" si="31"/>
        <v>0.1127659574</v>
      </c>
      <c r="ED36" s="16">
        <v>2.0</v>
      </c>
      <c r="EE36" s="16">
        <v>23.0</v>
      </c>
      <c r="EF36" s="17">
        <f t="shared" si="32"/>
        <v>0.08695652174</v>
      </c>
      <c r="EG36" s="16">
        <v>1.0</v>
      </c>
      <c r="EH36" s="16">
        <v>73.0</v>
      </c>
      <c r="EI36" s="17">
        <f t="shared" si="33"/>
        <v>0.01369863014</v>
      </c>
      <c r="EJ36" s="16">
        <v>40.0</v>
      </c>
      <c r="EK36" s="16">
        <v>683.0</v>
      </c>
      <c r="EL36" s="17">
        <f t="shared" si="34"/>
        <v>0.05856515373</v>
      </c>
      <c r="EM36" s="16">
        <v>0.0</v>
      </c>
      <c r="EN36" s="16">
        <v>13.0</v>
      </c>
      <c r="EO36" s="17">
        <f t="shared" si="35"/>
        <v>0</v>
      </c>
      <c r="EP36" s="16">
        <v>23.0</v>
      </c>
      <c r="EQ36" s="16">
        <v>201.0</v>
      </c>
      <c r="ER36" s="17">
        <f t="shared" si="60"/>
        <v>0.1144278607</v>
      </c>
      <c r="ES36" s="16">
        <v>3.0</v>
      </c>
      <c r="ET36" s="16">
        <v>122.0</v>
      </c>
      <c r="EU36" s="17">
        <f t="shared" si="36"/>
        <v>0.02459016393</v>
      </c>
      <c r="EV36" s="16">
        <v>15.0</v>
      </c>
      <c r="EW36" s="16">
        <v>63.0</v>
      </c>
      <c r="EX36" s="17">
        <f t="shared" si="64"/>
        <v>0.2380952381</v>
      </c>
      <c r="EY36" s="16">
        <v>286.0</v>
      </c>
      <c r="EZ36" s="16">
        <v>546.0</v>
      </c>
      <c r="FA36" s="17">
        <f t="shared" si="37"/>
        <v>0.5238095238</v>
      </c>
      <c r="FB36" s="16">
        <v>428.0</v>
      </c>
      <c r="FC36" s="16">
        <v>2054.0</v>
      </c>
      <c r="FD36" s="17">
        <f t="shared" si="38"/>
        <v>0.2084754019</v>
      </c>
      <c r="FE36" s="8">
        <v>10.0</v>
      </c>
      <c r="FF36" s="16">
        <v>69.0</v>
      </c>
      <c r="FG36" s="17">
        <f t="shared" si="39"/>
        <v>0.1449275362</v>
      </c>
      <c r="FH36" s="16">
        <v>26.0</v>
      </c>
      <c r="FI36" s="16">
        <v>126.0</v>
      </c>
      <c r="FJ36" s="17">
        <f t="shared" si="40"/>
        <v>0.2063492063</v>
      </c>
      <c r="FK36" s="16">
        <v>0.0</v>
      </c>
      <c r="FL36" s="16">
        <v>57.0</v>
      </c>
      <c r="FM36" s="17">
        <f t="shared" si="41"/>
        <v>0</v>
      </c>
      <c r="FN36" s="16">
        <v>13.0</v>
      </c>
      <c r="FO36" s="16">
        <v>101.0</v>
      </c>
      <c r="FP36" s="17">
        <f t="shared" si="42"/>
        <v>0.1287128713</v>
      </c>
      <c r="FQ36" s="16">
        <v>9.0</v>
      </c>
      <c r="FR36" s="16">
        <v>79.0</v>
      </c>
      <c r="FS36" s="17">
        <f t="shared" si="43"/>
        <v>0.1139240506</v>
      </c>
      <c r="FT36" s="16">
        <v>46.0</v>
      </c>
      <c r="FU36" s="16"/>
      <c r="FV36" s="16"/>
      <c r="FW36" s="16">
        <v>6.0</v>
      </c>
      <c r="FX36" s="16">
        <v>49.0</v>
      </c>
      <c r="FY36" s="17">
        <f t="shared" si="44"/>
        <v>0.1224489796</v>
      </c>
      <c r="FZ36" s="16">
        <v>2.0</v>
      </c>
      <c r="GA36" s="16"/>
      <c r="GB36" s="16"/>
      <c r="GC36" s="16">
        <v>4.0</v>
      </c>
      <c r="GD36" s="16">
        <v>175.0</v>
      </c>
      <c r="GE36" s="17">
        <f t="shared" si="45"/>
        <v>0.02285714286</v>
      </c>
      <c r="GF36" s="16">
        <v>5.0</v>
      </c>
      <c r="GG36" s="16">
        <v>118.0</v>
      </c>
      <c r="GH36" s="17">
        <f t="shared" si="46"/>
        <v>0.04237288136</v>
      </c>
      <c r="GI36" s="16">
        <v>301.0</v>
      </c>
      <c r="GJ36" s="16">
        <v>714.0</v>
      </c>
      <c r="GK36" s="17">
        <f t="shared" si="47"/>
        <v>0.4215686275</v>
      </c>
      <c r="GL36" s="16">
        <v>20.0</v>
      </c>
      <c r="GM36" s="16">
        <v>131.0</v>
      </c>
      <c r="GN36" s="17">
        <f t="shared" si="63"/>
        <v>0.1526717557</v>
      </c>
      <c r="GO36" s="16">
        <v>9.0</v>
      </c>
      <c r="GP36" s="16">
        <v>26.0</v>
      </c>
      <c r="GQ36" s="17">
        <f t="shared" si="49"/>
        <v>0.3461538462</v>
      </c>
      <c r="GR36" s="16">
        <v>10.0</v>
      </c>
      <c r="GS36" s="16">
        <v>54.0</v>
      </c>
      <c r="GT36" s="17">
        <f t="shared" si="50"/>
        <v>0.1851851852</v>
      </c>
      <c r="GU36" s="8">
        <v>0.0</v>
      </c>
      <c r="GV36" s="16">
        <v>19.0</v>
      </c>
      <c r="GW36" s="17">
        <f t="shared" si="51"/>
        <v>0</v>
      </c>
      <c r="GX36" s="16">
        <v>81.0</v>
      </c>
      <c r="GY36" s="16">
        <v>722.0</v>
      </c>
      <c r="GZ36" s="16"/>
      <c r="HA36" s="16">
        <v>31.0</v>
      </c>
      <c r="HB36" s="16">
        <v>259.0</v>
      </c>
      <c r="HC36" s="17">
        <f t="shared" si="52"/>
        <v>0.1196911197</v>
      </c>
      <c r="HD36" s="16"/>
      <c r="HE36" s="16"/>
      <c r="HF36" s="16"/>
    </row>
    <row r="37" ht="15.75" customHeight="1">
      <c r="A37" s="1">
        <f t="shared" si="58"/>
        <v>44835</v>
      </c>
      <c r="B37" s="8">
        <v>401.0</v>
      </c>
      <c r="C37" s="23">
        <v>1243.0</v>
      </c>
      <c r="D37" s="9">
        <f t="shared" si="1"/>
        <v>0.3226065969</v>
      </c>
      <c r="E37" s="8">
        <v>10.0</v>
      </c>
      <c r="F37" s="8">
        <v>120.0</v>
      </c>
      <c r="G37" s="9">
        <f t="shared" si="2"/>
        <v>0.08333333333</v>
      </c>
      <c r="H37" s="8">
        <v>172.0</v>
      </c>
      <c r="I37" s="8">
        <v>931.0</v>
      </c>
      <c r="J37" s="9">
        <f t="shared" si="3"/>
        <v>0.1847475832</v>
      </c>
      <c r="K37" s="8">
        <v>133.0</v>
      </c>
      <c r="L37" s="8">
        <v>314.0</v>
      </c>
      <c r="M37" s="9">
        <f t="shared" si="61"/>
        <v>0.423566879</v>
      </c>
      <c r="N37" s="8">
        <v>1431.0</v>
      </c>
      <c r="O37" s="8">
        <v>3182.0</v>
      </c>
      <c r="P37" s="9">
        <f t="shared" si="4"/>
        <v>0.449717159</v>
      </c>
      <c r="Q37" s="8">
        <v>9.0</v>
      </c>
      <c r="T37" s="8">
        <v>149.0</v>
      </c>
      <c r="U37" s="8">
        <v>459.0</v>
      </c>
      <c r="V37" s="9">
        <f t="shared" si="53"/>
        <v>0.3246187364</v>
      </c>
      <c r="W37" s="8">
        <v>76.0</v>
      </c>
      <c r="X37" s="8">
        <v>628.0</v>
      </c>
      <c r="Y37" s="9">
        <f t="shared" si="5"/>
        <v>0.1210191083</v>
      </c>
      <c r="Z37" s="8">
        <v>71.0</v>
      </c>
      <c r="AA37" s="8">
        <v>285.0</v>
      </c>
      <c r="AB37" s="9">
        <f t="shared" si="54"/>
        <v>0.249122807</v>
      </c>
      <c r="AC37" s="8">
        <v>57.0</v>
      </c>
      <c r="AD37" s="8">
        <v>1160.0</v>
      </c>
      <c r="AE37" s="9">
        <f t="shared" si="55"/>
        <v>0.04913793103</v>
      </c>
      <c r="AF37" s="8">
        <v>30.0</v>
      </c>
      <c r="AG37" s="8">
        <v>397.0</v>
      </c>
      <c r="AH37" s="9">
        <f t="shared" si="6"/>
        <v>0.07556675063</v>
      </c>
      <c r="AI37" s="10">
        <v>25.0</v>
      </c>
      <c r="AJ37" s="8">
        <v>410.0</v>
      </c>
      <c r="AK37" s="9">
        <f t="shared" si="7"/>
        <v>0.06097560976</v>
      </c>
      <c r="AL37" s="16">
        <v>64.0</v>
      </c>
      <c r="AM37" s="16">
        <v>381.0</v>
      </c>
      <c r="AN37" s="17">
        <f t="shared" si="8"/>
        <v>0.1679790026</v>
      </c>
      <c r="AO37" s="18">
        <v>7.0</v>
      </c>
      <c r="AP37" s="18">
        <v>116.0</v>
      </c>
      <c r="AQ37" s="17">
        <f t="shared" si="9"/>
        <v>0.06034482759</v>
      </c>
      <c r="AR37" s="16">
        <v>4.0</v>
      </c>
      <c r="AS37" s="16">
        <v>87.0</v>
      </c>
      <c r="AT37" s="17">
        <f t="shared" si="65"/>
        <v>0.04597701149</v>
      </c>
      <c r="AU37" s="16">
        <v>316.0</v>
      </c>
      <c r="AV37" s="16">
        <v>712.0</v>
      </c>
      <c r="AW37" s="17"/>
      <c r="AX37" s="16">
        <v>1.0</v>
      </c>
      <c r="AY37" s="16">
        <v>67.0</v>
      </c>
      <c r="AZ37" s="17">
        <f t="shared" si="10"/>
        <v>0.01492537313</v>
      </c>
      <c r="BA37" s="16">
        <v>3.0</v>
      </c>
      <c r="BB37" s="16">
        <v>51.0</v>
      </c>
      <c r="BC37" s="17">
        <f t="shared" si="11"/>
        <v>0.05882352941</v>
      </c>
      <c r="BD37" s="17"/>
      <c r="BE37" s="16">
        <v>21.0</v>
      </c>
      <c r="BF37" s="17"/>
      <c r="BG37" s="17"/>
      <c r="BH37" s="18">
        <v>66.0</v>
      </c>
      <c r="BI37" s="17"/>
      <c r="BJ37" s="18">
        <v>21.0</v>
      </c>
      <c r="BK37" s="18">
        <v>256.0</v>
      </c>
      <c r="BL37" s="17">
        <f t="shared" si="12"/>
        <v>0.08203125</v>
      </c>
      <c r="BM37" s="19">
        <v>2.0</v>
      </c>
      <c r="BN37" s="19">
        <v>56.0</v>
      </c>
      <c r="BO37" s="17">
        <f t="shared" si="13"/>
        <v>0.03571428571</v>
      </c>
      <c r="BP37" s="16">
        <v>3.0</v>
      </c>
      <c r="BQ37" s="16">
        <v>111.0</v>
      </c>
      <c r="BR37" s="17">
        <f t="shared" si="14"/>
        <v>0.02702702703</v>
      </c>
      <c r="BS37" s="16">
        <v>84.0</v>
      </c>
      <c r="BT37" s="16">
        <v>169.0</v>
      </c>
      <c r="BU37" s="17">
        <f t="shared" si="15"/>
        <v>0.4970414201</v>
      </c>
      <c r="BV37" s="18">
        <v>17.0</v>
      </c>
      <c r="BW37" s="18">
        <v>102.0</v>
      </c>
      <c r="BX37" s="17">
        <f t="shared" si="16"/>
        <v>0.1666666667</v>
      </c>
      <c r="BY37" s="16">
        <v>1.0</v>
      </c>
      <c r="BZ37" s="16">
        <v>94.0</v>
      </c>
      <c r="CA37" s="13">
        <f t="shared" si="59"/>
        <v>0.01063829787</v>
      </c>
      <c r="CB37" s="18">
        <v>1.0</v>
      </c>
      <c r="CC37" s="18">
        <v>63.0</v>
      </c>
      <c r="CD37" s="17">
        <f t="shared" si="17"/>
        <v>0.01587301587</v>
      </c>
      <c r="CE37" s="16">
        <v>18.0</v>
      </c>
      <c r="CF37" s="8">
        <v>377.0</v>
      </c>
      <c r="CG37" s="17">
        <f t="shared" si="18"/>
        <v>0.04774535809</v>
      </c>
      <c r="CH37" s="16">
        <v>0.0</v>
      </c>
      <c r="CI37" s="16">
        <v>8.0</v>
      </c>
      <c r="CJ37" s="17">
        <f t="shared" si="19"/>
        <v>0</v>
      </c>
      <c r="CK37" s="16">
        <v>4.0</v>
      </c>
      <c r="CL37" s="16">
        <v>65.0</v>
      </c>
      <c r="CM37" s="17">
        <f t="shared" si="20"/>
        <v>0.06153846154</v>
      </c>
      <c r="CN37" s="16">
        <v>2.0</v>
      </c>
      <c r="CO37" s="16">
        <v>100.0</v>
      </c>
      <c r="CP37" s="17">
        <f t="shared" si="21"/>
        <v>0.02</v>
      </c>
      <c r="CQ37" s="16">
        <v>35.0</v>
      </c>
      <c r="CR37" s="16">
        <v>584.0</v>
      </c>
      <c r="CS37" s="17">
        <f t="shared" si="22"/>
        <v>0.05993150685</v>
      </c>
      <c r="CT37" s="16">
        <v>8.0</v>
      </c>
      <c r="CU37" s="16">
        <v>114.0</v>
      </c>
      <c r="CV37" s="17">
        <f t="shared" si="23"/>
        <v>0.0701754386</v>
      </c>
      <c r="CW37" s="16">
        <v>1.0</v>
      </c>
      <c r="CX37" s="16">
        <v>63.0</v>
      </c>
      <c r="CY37" s="17">
        <f t="shared" si="24"/>
        <v>0.01587301587</v>
      </c>
      <c r="CZ37" s="16">
        <v>62.0</v>
      </c>
      <c r="DA37" s="16">
        <v>205.0</v>
      </c>
      <c r="DB37" s="17">
        <f t="shared" si="56"/>
        <v>0.3024390244</v>
      </c>
      <c r="DC37" s="16">
        <v>5.0</v>
      </c>
      <c r="DD37" s="16">
        <v>75.0</v>
      </c>
      <c r="DE37" s="17">
        <f t="shared" si="25"/>
        <v>0.06666666667</v>
      </c>
      <c r="DF37" s="16">
        <v>23.0</v>
      </c>
      <c r="DG37" s="16">
        <v>86.0</v>
      </c>
      <c r="DH37" s="17">
        <f t="shared" si="62"/>
        <v>0.2674418605</v>
      </c>
      <c r="DI37" s="16">
        <v>9.0</v>
      </c>
      <c r="DJ37" s="16">
        <v>174.0</v>
      </c>
      <c r="DK37" s="17">
        <f t="shared" si="26"/>
        <v>0.05172413793</v>
      </c>
      <c r="DL37" s="16">
        <v>4.0</v>
      </c>
      <c r="DM37" s="16">
        <v>47.0</v>
      </c>
      <c r="DN37" s="17">
        <f t="shared" si="27"/>
        <v>0.08510638298</v>
      </c>
      <c r="DO37" s="16">
        <v>14.0</v>
      </c>
      <c r="DP37" s="16">
        <v>97.0</v>
      </c>
      <c r="DQ37" s="17">
        <f t="shared" si="28"/>
        <v>0.1443298969</v>
      </c>
      <c r="DR37" s="16">
        <v>23.0</v>
      </c>
      <c r="DS37" s="16">
        <v>136.0</v>
      </c>
      <c r="DT37" s="17">
        <f t="shared" si="29"/>
        <v>0.1691176471</v>
      </c>
      <c r="DU37" s="16">
        <v>52.0</v>
      </c>
      <c r="DV37" s="16">
        <v>335.0</v>
      </c>
      <c r="DW37" s="17">
        <f t="shared" si="57"/>
        <v>0.1552238806</v>
      </c>
      <c r="DX37" s="16">
        <v>1.0</v>
      </c>
      <c r="DY37" s="16">
        <v>22.0</v>
      </c>
      <c r="DZ37" s="17">
        <f t="shared" si="30"/>
        <v>0.04545454545</v>
      </c>
      <c r="EA37" s="22">
        <v>27.0</v>
      </c>
      <c r="EB37" s="16">
        <v>425.0</v>
      </c>
      <c r="EC37" s="17">
        <f t="shared" si="31"/>
        <v>0.06352941176</v>
      </c>
      <c r="ED37" s="16">
        <v>3.0</v>
      </c>
      <c r="EE37" s="16">
        <v>38.0</v>
      </c>
      <c r="EF37" s="17">
        <f t="shared" si="32"/>
        <v>0.07894736842</v>
      </c>
      <c r="EG37" s="16">
        <v>5.0</v>
      </c>
      <c r="EH37" s="16">
        <v>94.0</v>
      </c>
      <c r="EI37" s="17">
        <f t="shared" si="33"/>
        <v>0.05319148936</v>
      </c>
      <c r="EJ37" s="16">
        <v>46.0</v>
      </c>
      <c r="EK37" s="16">
        <v>576.0</v>
      </c>
      <c r="EL37" s="17">
        <f t="shared" si="34"/>
        <v>0.07986111111</v>
      </c>
      <c r="EM37" s="16">
        <v>2.0</v>
      </c>
      <c r="EN37" s="16">
        <v>12.0</v>
      </c>
      <c r="EO37" s="17">
        <f t="shared" si="35"/>
        <v>0.1666666667</v>
      </c>
      <c r="EP37" s="16">
        <v>31.0</v>
      </c>
      <c r="EQ37" s="16">
        <v>214.0</v>
      </c>
      <c r="ER37" s="17">
        <f t="shared" si="60"/>
        <v>0.1448598131</v>
      </c>
      <c r="ES37" s="16">
        <v>3.0</v>
      </c>
      <c r="ET37" s="16">
        <v>111.0</v>
      </c>
      <c r="EU37" s="17">
        <f t="shared" si="36"/>
        <v>0.02702702703</v>
      </c>
      <c r="EV37" s="16">
        <v>24.0</v>
      </c>
      <c r="EW37" s="16">
        <v>71.0</v>
      </c>
      <c r="EX37" s="17">
        <f t="shared" si="64"/>
        <v>0.338028169</v>
      </c>
      <c r="EY37" s="16">
        <v>372.0</v>
      </c>
      <c r="EZ37" s="16">
        <v>624.0</v>
      </c>
      <c r="FA37" s="17">
        <f t="shared" si="37"/>
        <v>0.5961538462</v>
      </c>
      <c r="FB37" s="16">
        <v>420.0</v>
      </c>
      <c r="FC37" s="16">
        <v>2053.0</v>
      </c>
      <c r="FD37" s="17">
        <f t="shared" si="38"/>
        <v>0.2237613213</v>
      </c>
      <c r="FE37" s="8">
        <v>16.0</v>
      </c>
      <c r="FF37" s="16">
        <v>83.0</v>
      </c>
      <c r="FG37" s="17">
        <f t="shared" si="39"/>
        <v>0.1927710843</v>
      </c>
      <c r="FH37" s="16">
        <v>18.0</v>
      </c>
      <c r="FI37" s="16">
        <v>92.0</v>
      </c>
      <c r="FJ37" s="17">
        <f t="shared" si="40"/>
        <v>0.1956521739</v>
      </c>
      <c r="FK37" s="16">
        <v>2.0</v>
      </c>
      <c r="FL37" s="16">
        <v>49.0</v>
      </c>
      <c r="FM37" s="17">
        <f t="shared" si="41"/>
        <v>0.04081632653</v>
      </c>
      <c r="FN37" s="16">
        <v>20.0</v>
      </c>
      <c r="FO37" s="16">
        <v>99.0</v>
      </c>
      <c r="FP37" s="17">
        <f t="shared" si="42"/>
        <v>0.202020202</v>
      </c>
      <c r="FQ37" s="16">
        <v>6.0</v>
      </c>
      <c r="FR37" s="16">
        <v>73.0</v>
      </c>
      <c r="FS37" s="17">
        <f t="shared" si="43"/>
        <v>0.08219178082</v>
      </c>
      <c r="FT37" s="16">
        <v>93.0</v>
      </c>
      <c r="FU37" s="16"/>
      <c r="FV37" s="16"/>
      <c r="FW37" s="16">
        <v>7.0</v>
      </c>
      <c r="FX37" s="16">
        <v>42.0</v>
      </c>
      <c r="FY37" s="17">
        <f t="shared" si="44"/>
        <v>0.1666666667</v>
      </c>
      <c r="FZ37" s="16">
        <v>1.0</v>
      </c>
      <c r="GA37" s="16"/>
      <c r="GB37" s="16"/>
      <c r="GC37" s="16">
        <v>8.0</v>
      </c>
      <c r="GD37" s="16">
        <v>201.0</v>
      </c>
      <c r="GE37" s="17">
        <f t="shared" si="45"/>
        <v>0.03980099502</v>
      </c>
      <c r="GF37" s="16">
        <v>9.0</v>
      </c>
      <c r="GG37" s="16">
        <v>96.0</v>
      </c>
      <c r="GH37" s="17">
        <f t="shared" si="46"/>
        <v>0.09375</v>
      </c>
      <c r="GI37" s="16">
        <v>462.0</v>
      </c>
      <c r="GJ37" s="16">
        <v>862.0</v>
      </c>
      <c r="GK37" s="17">
        <f t="shared" si="47"/>
        <v>0.535962877</v>
      </c>
      <c r="GL37" s="16">
        <v>30.0</v>
      </c>
      <c r="GM37" s="16">
        <v>192.0</v>
      </c>
      <c r="GN37" s="17">
        <f t="shared" si="63"/>
        <v>0.15625</v>
      </c>
      <c r="GO37" s="16">
        <v>5.0</v>
      </c>
      <c r="GP37" s="16">
        <v>20.0</v>
      </c>
      <c r="GQ37" s="17">
        <f t="shared" si="49"/>
        <v>0.25</v>
      </c>
      <c r="GR37" s="16">
        <v>6.0</v>
      </c>
      <c r="GS37" s="16">
        <v>68.0</v>
      </c>
      <c r="GT37" s="17">
        <f t="shared" si="50"/>
        <v>0.08823529412</v>
      </c>
      <c r="GU37" s="8">
        <v>4.0</v>
      </c>
      <c r="GV37" s="16">
        <v>20.0</v>
      </c>
      <c r="GW37" s="17">
        <f t="shared" si="51"/>
        <v>0.2</v>
      </c>
      <c r="GX37" s="16">
        <v>150.0</v>
      </c>
      <c r="GY37" s="16">
        <v>795.0</v>
      </c>
      <c r="GZ37" s="16"/>
      <c r="HA37" s="16">
        <v>100.0</v>
      </c>
      <c r="HB37" s="16">
        <v>399.0</v>
      </c>
      <c r="HC37" s="17">
        <f t="shared" si="52"/>
        <v>0.2506265664</v>
      </c>
      <c r="HD37" s="16"/>
      <c r="HE37" s="16"/>
      <c r="HF37" s="16"/>
    </row>
    <row r="38" ht="15.75" customHeight="1">
      <c r="A38" s="1">
        <f t="shared" si="58"/>
        <v>44866</v>
      </c>
      <c r="B38" s="8">
        <v>339.0</v>
      </c>
      <c r="C38" s="23">
        <v>1075.0</v>
      </c>
      <c r="D38" s="9">
        <f t="shared" si="1"/>
        <v>0.3153488372</v>
      </c>
      <c r="E38" s="8">
        <v>13.0</v>
      </c>
      <c r="F38" s="8">
        <v>128.0</v>
      </c>
      <c r="G38" s="9">
        <f t="shared" si="2"/>
        <v>0.1015625</v>
      </c>
      <c r="H38" s="8">
        <v>245.0</v>
      </c>
      <c r="I38" s="8">
        <v>966.0</v>
      </c>
      <c r="J38" s="9">
        <f t="shared" si="3"/>
        <v>0.2536231884</v>
      </c>
      <c r="K38" s="8">
        <v>146.0</v>
      </c>
      <c r="L38" s="8">
        <v>366.0</v>
      </c>
      <c r="M38" s="9">
        <f t="shared" si="61"/>
        <v>0.3989071038</v>
      </c>
      <c r="N38" s="8">
        <v>1418.0</v>
      </c>
      <c r="O38" s="8">
        <v>2952.0</v>
      </c>
      <c r="P38" s="9">
        <f t="shared" si="4"/>
        <v>0.4803523035</v>
      </c>
      <c r="Q38" s="8">
        <v>7.0</v>
      </c>
      <c r="T38" s="8">
        <v>122.0</v>
      </c>
      <c r="U38" s="8">
        <v>401.0</v>
      </c>
      <c r="V38" s="9">
        <f t="shared" si="53"/>
        <v>0.3042394015</v>
      </c>
      <c r="W38" s="8">
        <v>55.0</v>
      </c>
      <c r="X38" s="8">
        <v>510.0</v>
      </c>
      <c r="Y38" s="9">
        <f t="shared" si="5"/>
        <v>0.1078431373</v>
      </c>
      <c r="Z38" s="8">
        <v>24.0</v>
      </c>
      <c r="AA38" s="8">
        <v>268.0</v>
      </c>
      <c r="AB38" s="9">
        <f t="shared" si="54"/>
        <v>0.08955223881</v>
      </c>
      <c r="AC38" s="8">
        <v>61.0</v>
      </c>
      <c r="AD38" s="8">
        <v>1075.0</v>
      </c>
      <c r="AE38" s="9">
        <f t="shared" si="55"/>
        <v>0.05674418605</v>
      </c>
      <c r="AF38" s="8">
        <v>30.0</v>
      </c>
      <c r="AG38" s="8">
        <v>370.0</v>
      </c>
      <c r="AH38" s="9">
        <f t="shared" si="6"/>
        <v>0.08108108108</v>
      </c>
      <c r="AI38" s="10">
        <v>18.0</v>
      </c>
      <c r="AJ38" s="8">
        <v>318.0</v>
      </c>
      <c r="AK38" s="9">
        <f t="shared" si="7"/>
        <v>0.05660377358</v>
      </c>
      <c r="AL38" s="16">
        <v>124.0</v>
      </c>
      <c r="AM38" s="16">
        <v>261.0</v>
      </c>
      <c r="AN38" s="17">
        <f t="shared" si="8"/>
        <v>0.4750957854</v>
      </c>
      <c r="AO38" s="18">
        <v>6.0</v>
      </c>
      <c r="AP38" s="18">
        <v>85.0</v>
      </c>
      <c r="AQ38" s="17">
        <f t="shared" si="9"/>
        <v>0.07058823529</v>
      </c>
      <c r="AR38" s="16">
        <v>3.0</v>
      </c>
      <c r="AS38" s="16">
        <v>94.0</v>
      </c>
      <c r="AT38" s="17">
        <f t="shared" si="65"/>
        <v>0.03191489362</v>
      </c>
      <c r="AU38" s="16">
        <v>279.0</v>
      </c>
      <c r="AV38" s="16">
        <v>570.0</v>
      </c>
      <c r="AW38" s="17"/>
      <c r="AX38" s="16">
        <v>3.0</v>
      </c>
      <c r="AY38" s="16">
        <v>69.0</v>
      </c>
      <c r="AZ38" s="17">
        <f t="shared" si="10"/>
        <v>0.04347826087</v>
      </c>
      <c r="BA38" s="16">
        <v>4.0</v>
      </c>
      <c r="BB38" s="16">
        <v>40.0</v>
      </c>
      <c r="BC38" s="17">
        <f t="shared" si="11"/>
        <v>0.1</v>
      </c>
      <c r="BD38" s="17"/>
      <c r="BE38" s="16">
        <v>16.0</v>
      </c>
      <c r="BF38" s="17"/>
      <c r="BG38" s="17"/>
      <c r="BH38" s="18">
        <v>109.0</v>
      </c>
      <c r="BI38" s="17"/>
      <c r="BJ38" s="18">
        <v>13.0</v>
      </c>
      <c r="BK38" s="18">
        <v>233.0</v>
      </c>
      <c r="BL38" s="17">
        <f t="shared" si="12"/>
        <v>0.05579399142</v>
      </c>
      <c r="BM38" s="19">
        <v>0.0</v>
      </c>
      <c r="BN38" s="19">
        <v>34.0</v>
      </c>
      <c r="BO38" s="17">
        <f t="shared" si="13"/>
        <v>0</v>
      </c>
      <c r="BP38" s="16">
        <v>9.0</v>
      </c>
      <c r="BQ38" s="16">
        <v>84.0</v>
      </c>
      <c r="BR38" s="17">
        <f t="shared" si="14"/>
        <v>0.1071428571</v>
      </c>
      <c r="BS38" s="16">
        <v>40.0</v>
      </c>
      <c r="BT38" s="16">
        <v>145.0</v>
      </c>
      <c r="BU38" s="17">
        <f t="shared" si="15"/>
        <v>0.275862069</v>
      </c>
      <c r="BV38" s="18">
        <v>10.0</v>
      </c>
      <c r="BW38" s="18">
        <v>120.0</v>
      </c>
      <c r="BX38" s="17">
        <f t="shared" si="16"/>
        <v>0.08333333333</v>
      </c>
      <c r="BY38" s="16">
        <v>6.0</v>
      </c>
      <c r="BZ38" s="16">
        <v>94.0</v>
      </c>
      <c r="CA38" s="13">
        <f t="shared" si="59"/>
        <v>0.06382978723</v>
      </c>
      <c r="CB38" s="18">
        <v>4.0</v>
      </c>
      <c r="CC38" s="18">
        <v>58.0</v>
      </c>
      <c r="CD38" s="17">
        <f t="shared" si="17"/>
        <v>0.06896551724</v>
      </c>
      <c r="CE38" s="16">
        <v>33.0</v>
      </c>
      <c r="CF38" s="8">
        <v>362.0</v>
      </c>
      <c r="CG38" s="17">
        <f t="shared" si="18"/>
        <v>0.09116022099</v>
      </c>
      <c r="CH38" s="16">
        <v>0.0</v>
      </c>
      <c r="CI38" s="16">
        <v>10.0</v>
      </c>
      <c r="CJ38" s="17">
        <f t="shared" si="19"/>
        <v>0</v>
      </c>
      <c r="CK38" s="16">
        <v>7.0</v>
      </c>
      <c r="CL38" s="16">
        <v>86.0</v>
      </c>
      <c r="CM38" s="17">
        <f t="shared" si="20"/>
        <v>0.08139534884</v>
      </c>
      <c r="CN38" s="16">
        <v>2.0</v>
      </c>
      <c r="CO38" s="16">
        <v>99.0</v>
      </c>
      <c r="CP38" s="17">
        <f t="shared" si="21"/>
        <v>0.0202020202</v>
      </c>
      <c r="CQ38" s="16">
        <v>25.0</v>
      </c>
      <c r="CR38" s="16">
        <v>552.0</v>
      </c>
      <c r="CS38" s="17">
        <f t="shared" si="22"/>
        <v>0.04528985507</v>
      </c>
      <c r="CT38" s="16">
        <v>11.0</v>
      </c>
      <c r="CU38" s="16">
        <v>114.0</v>
      </c>
      <c r="CV38" s="17">
        <f t="shared" si="23"/>
        <v>0.09649122807</v>
      </c>
      <c r="CW38" s="16">
        <v>4.0</v>
      </c>
      <c r="CX38" s="16">
        <v>58.0</v>
      </c>
      <c r="CY38" s="17">
        <f t="shared" si="24"/>
        <v>0.06896551724</v>
      </c>
      <c r="CZ38" s="16">
        <v>103.0</v>
      </c>
      <c r="DA38" s="16">
        <v>208.0</v>
      </c>
      <c r="DB38" s="17">
        <f t="shared" si="56"/>
        <v>0.4951923077</v>
      </c>
      <c r="DC38" s="16">
        <v>21.0</v>
      </c>
      <c r="DD38" s="16">
        <v>107.0</v>
      </c>
      <c r="DE38" s="17">
        <f t="shared" si="25"/>
        <v>0.1962616822</v>
      </c>
      <c r="DF38" s="16">
        <v>12.0</v>
      </c>
      <c r="DG38" s="16">
        <v>86.0</v>
      </c>
      <c r="DH38" s="17">
        <f t="shared" si="62"/>
        <v>0.1395348837</v>
      </c>
      <c r="DI38" s="16">
        <v>11.0</v>
      </c>
      <c r="DJ38" s="16">
        <v>170.0</v>
      </c>
      <c r="DK38" s="17">
        <f t="shared" si="26"/>
        <v>0.06470588235</v>
      </c>
      <c r="DL38" s="16">
        <v>7.0</v>
      </c>
      <c r="DM38" s="16">
        <v>43.0</v>
      </c>
      <c r="DN38" s="17">
        <f t="shared" si="27"/>
        <v>0.1627906977</v>
      </c>
      <c r="DO38" s="16">
        <v>2.0</v>
      </c>
      <c r="DP38" s="16">
        <v>57.0</v>
      </c>
      <c r="DQ38" s="17">
        <f t="shared" si="28"/>
        <v>0.0350877193</v>
      </c>
      <c r="DR38" s="16">
        <v>24.0</v>
      </c>
      <c r="DS38" s="16">
        <v>103.0</v>
      </c>
      <c r="DT38" s="17">
        <f t="shared" si="29"/>
        <v>0.2330097087</v>
      </c>
      <c r="DU38" s="16">
        <v>77.0</v>
      </c>
      <c r="DV38" s="16">
        <v>365.0</v>
      </c>
      <c r="DW38" s="17">
        <f t="shared" si="57"/>
        <v>0.2109589041</v>
      </c>
      <c r="DX38" s="16">
        <v>1.0</v>
      </c>
      <c r="DY38" s="16">
        <v>23.0</v>
      </c>
      <c r="DZ38" s="17">
        <f t="shared" si="30"/>
        <v>0.04347826087</v>
      </c>
      <c r="EA38" s="22">
        <v>33.0</v>
      </c>
      <c r="EB38" s="16">
        <v>420.0</v>
      </c>
      <c r="EC38" s="17">
        <f t="shared" si="31"/>
        <v>0.07857142857</v>
      </c>
      <c r="ED38" s="16">
        <v>2.0</v>
      </c>
      <c r="EE38" s="16">
        <v>35.0</v>
      </c>
      <c r="EF38" s="17">
        <f t="shared" si="32"/>
        <v>0.05714285714</v>
      </c>
      <c r="EG38" s="16">
        <v>4.0</v>
      </c>
      <c r="EH38" s="16">
        <v>87.0</v>
      </c>
      <c r="EI38" s="17">
        <f t="shared" si="33"/>
        <v>0.04597701149</v>
      </c>
      <c r="EJ38" s="16">
        <v>40.0</v>
      </c>
      <c r="EK38" s="16">
        <v>476.0</v>
      </c>
      <c r="EL38" s="17">
        <f t="shared" si="34"/>
        <v>0.08403361345</v>
      </c>
      <c r="EM38" s="16">
        <v>4.0</v>
      </c>
      <c r="EN38" s="16">
        <v>14.0</v>
      </c>
      <c r="EO38" s="17">
        <f t="shared" si="35"/>
        <v>0.2857142857</v>
      </c>
      <c r="EP38" s="16">
        <v>17.0</v>
      </c>
      <c r="EQ38" s="16">
        <v>194.0</v>
      </c>
      <c r="ER38" s="17">
        <f t="shared" si="60"/>
        <v>0.08762886598</v>
      </c>
      <c r="ES38" s="16">
        <v>2.0</v>
      </c>
      <c r="ET38" s="16">
        <v>94.0</v>
      </c>
      <c r="EU38" s="17">
        <f t="shared" si="36"/>
        <v>0.02127659574</v>
      </c>
      <c r="EV38" s="16">
        <v>32.0</v>
      </c>
      <c r="EW38" s="16">
        <v>112.0</v>
      </c>
      <c r="EX38" s="17">
        <f t="shared" si="64"/>
        <v>0.2857142857</v>
      </c>
      <c r="EY38" s="16">
        <v>303.0</v>
      </c>
      <c r="EZ38" s="16">
        <v>533.0</v>
      </c>
      <c r="FA38" s="17">
        <f t="shared" si="37"/>
        <v>0.5684803002</v>
      </c>
      <c r="FB38" s="16">
        <v>386.0</v>
      </c>
      <c r="FC38" s="16">
        <v>1877.0</v>
      </c>
      <c r="FD38" s="17">
        <f t="shared" si="38"/>
        <v>0.2068595927</v>
      </c>
      <c r="FE38" s="8">
        <v>26.0</v>
      </c>
      <c r="FF38" s="16">
        <v>85.0</v>
      </c>
      <c r="FG38" s="17">
        <f t="shared" si="39"/>
        <v>0.3058823529</v>
      </c>
      <c r="FH38" s="16">
        <v>16.0</v>
      </c>
      <c r="FI38" s="16">
        <v>113.0</v>
      </c>
      <c r="FJ38" s="17">
        <f t="shared" si="40"/>
        <v>0.1415929204</v>
      </c>
      <c r="FK38" s="16">
        <v>2.0</v>
      </c>
      <c r="FL38" s="16">
        <v>65.0</v>
      </c>
      <c r="FM38" s="17">
        <f t="shared" si="41"/>
        <v>0.03076923077</v>
      </c>
      <c r="FN38" s="16">
        <v>35.0</v>
      </c>
      <c r="FO38" s="16">
        <v>124.0</v>
      </c>
      <c r="FP38" s="17">
        <f t="shared" si="42"/>
        <v>0.2822580645</v>
      </c>
      <c r="FQ38" s="16">
        <v>15.0</v>
      </c>
      <c r="FR38" s="16">
        <v>71.0</v>
      </c>
      <c r="FS38" s="17">
        <f t="shared" si="43"/>
        <v>0.2112676056</v>
      </c>
      <c r="FT38" s="16">
        <v>61.0</v>
      </c>
      <c r="FU38" s="16"/>
      <c r="FV38" s="16"/>
      <c r="FW38" s="16">
        <v>4.0</v>
      </c>
      <c r="FX38" s="16">
        <v>45.0</v>
      </c>
      <c r="FY38" s="17">
        <f t="shared" si="44"/>
        <v>0.08888888889</v>
      </c>
      <c r="FZ38" s="16">
        <v>6.0</v>
      </c>
      <c r="GA38" s="16"/>
      <c r="GB38" s="16"/>
      <c r="GC38" s="16">
        <v>17.0</v>
      </c>
      <c r="GD38" s="16">
        <v>145.0</v>
      </c>
      <c r="GE38" s="17">
        <f t="shared" si="45"/>
        <v>0.1172413793</v>
      </c>
      <c r="GF38" s="16">
        <v>6.0</v>
      </c>
      <c r="GG38" s="16">
        <v>126.0</v>
      </c>
      <c r="GH38" s="17">
        <f t="shared" si="46"/>
        <v>0.04761904762</v>
      </c>
      <c r="GI38" s="16">
        <v>447.0</v>
      </c>
      <c r="GJ38" s="16">
        <v>780.0</v>
      </c>
      <c r="GK38" s="17">
        <f t="shared" si="47"/>
        <v>0.5730769231</v>
      </c>
      <c r="GL38" s="16">
        <v>35.0</v>
      </c>
      <c r="GM38" s="16">
        <v>159.0</v>
      </c>
      <c r="GN38" s="17">
        <f t="shared" si="63"/>
        <v>0.2201257862</v>
      </c>
      <c r="GO38" s="16">
        <v>12.0</v>
      </c>
      <c r="GP38" s="16">
        <v>32.0</v>
      </c>
      <c r="GQ38" s="17">
        <f t="shared" si="49"/>
        <v>0.375</v>
      </c>
      <c r="GR38" s="16">
        <v>4.0</v>
      </c>
      <c r="GS38" s="16">
        <v>52.0</v>
      </c>
      <c r="GT38" s="17">
        <f t="shared" si="50"/>
        <v>0.07692307692</v>
      </c>
      <c r="GU38" s="8">
        <v>5.0</v>
      </c>
      <c r="GV38" s="16">
        <v>12.0</v>
      </c>
      <c r="GW38" s="17">
        <f t="shared" si="51"/>
        <v>0.4166666667</v>
      </c>
      <c r="GX38" s="16">
        <v>94.0</v>
      </c>
      <c r="GY38" s="16">
        <v>746.0</v>
      </c>
      <c r="GZ38" s="16"/>
      <c r="HA38" s="16">
        <v>91.0</v>
      </c>
      <c r="HB38" s="16">
        <v>368.0</v>
      </c>
      <c r="HC38" s="17">
        <f t="shared" si="52"/>
        <v>0.2472826087</v>
      </c>
      <c r="HD38" s="16"/>
      <c r="HE38" s="16"/>
      <c r="HF38" s="16"/>
    </row>
    <row r="39" ht="15.75" customHeight="1">
      <c r="A39" s="1">
        <f t="shared" si="58"/>
        <v>44896</v>
      </c>
      <c r="B39" s="8">
        <v>391.0</v>
      </c>
      <c r="C39" s="23">
        <v>1070.0</v>
      </c>
      <c r="D39" s="9">
        <f t="shared" si="1"/>
        <v>0.3654205607</v>
      </c>
      <c r="E39" s="8">
        <v>11.0</v>
      </c>
      <c r="F39" s="8">
        <v>129.0</v>
      </c>
      <c r="G39" s="9">
        <f t="shared" si="2"/>
        <v>0.08527131783</v>
      </c>
      <c r="H39" s="8">
        <v>301.0</v>
      </c>
      <c r="I39" s="8">
        <v>895.0</v>
      </c>
      <c r="J39" s="9">
        <f t="shared" si="3"/>
        <v>0.3363128492</v>
      </c>
      <c r="K39" s="8">
        <v>156.0</v>
      </c>
      <c r="L39" s="8">
        <v>370.0</v>
      </c>
      <c r="M39" s="9">
        <f t="shared" si="61"/>
        <v>0.4216216216</v>
      </c>
      <c r="N39" s="8">
        <v>1178.0</v>
      </c>
      <c r="O39" s="8">
        <v>2720.0</v>
      </c>
      <c r="P39" s="9">
        <f t="shared" si="4"/>
        <v>0.4330882353</v>
      </c>
      <c r="Q39" s="8">
        <v>16.0</v>
      </c>
      <c r="T39" s="8">
        <v>172.0</v>
      </c>
      <c r="U39" s="8">
        <v>464.0</v>
      </c>
      <c r="V39" s="9">
        <f t="shared" si="53"/>
        <v>0.3706896552</v>
      </c>
      <c r="W39" s="8">
        <v>49.0</v>
      </c>
      <c r="X39" s="8">
        <v>543.0</v>
      </c>
      <c r="Y39" s="9">
        <f t="shared" si="5"/>
        <v>0.09023941068</v>
      </c>
      <c r="Z39" s="8">
        <v>40.0</v>
      </c>
      <c r="AA39" s="8">
        <v>291.0</v>
      </c>
      <c r="AB39" s="9">
        <f t="shared" si="54"/>
        <v>0.1374570447</v>
      </c>
      <c r="AC39" s="8">
        <v>109.0</v>
      </c>
      <c r="AD39" s="8">
        <v>1177.0</v>
      </c>
      <c r="AE39" s="9">
        <f t="shared" si="55"/>
        <v>0.09260832625</v>
      </c>
      <c r="AF39" s="8">
        <v>22.0</v>
      </c>
      <c r="AG39" s="8">
        <v>436.0</v>
      </c>
      <c r="AH39" s="9">
        <f t="shared" si="6"/>
        <v>0.0504587156</v>
      </c>
      <c r="AI39" s="10">
        <v>53.0</v>
      </c>
      <c r="AJ39" s="8">
        <v>327.0</v>
      </c>
      <c r="AK39" s="9">
        <f t="shared" si="7"/>
        <v>0.1620795107</v>
      </c>
      <c r="AL39" s="16">
        <v>132.0</v>
      </c>
      <c r="AM39" s="16">
        <v>338.0</v>
      </c>
      <c r="AN39" s="17">
        <f t="shared" si="8"/>
        <v>0.3905325444</v>
      </c>
      <c r="AO39" s="18">
        <v>5.0</v>
      </c>
      <c r="AP39" s="18">
        <v>99.0</v>
      </c>
      <c r="AQ39" s="17">
        <f t="shared" si="9"/>
        <v>0.05050505051</v>
      </c>
      <c r="AR39" s="16">
        <v>7.0</v>
      </c>
      <c r="AS39" s="16">
        <v>83.0</v>
      </c>
      <c r="AT39" s="17">
        <f t="shared" si="65"/>
        <v>0.0843373494</v>
      </c>
      <c r="AU39" s="16">
        <v>396.0</v>
      </c>
      <c r="AV39" s="16">
        <v>630.0</v>
      </c>
      <c r="AW39" s="17"/>
      <c r="AX39" s="16">
        <v>3.0</v>
      </c>
      <c r="AY39" s="16">
        <v>79.0</v>
      </c>
      <c r="AZ39" s="17">
        <f t="shared" si="10"/>
        <v>0.03797468354</v>
      </c>
      <c r="BA39" s="16">
        <v>5.0</v>
      </c>
      <c r="BB39" s="16">
        <v>33.0</v>
      </c>
      <c r="BC39" s="17">
        <f t="shared" si="11"/>
        <v>0.1515151515</v>
      </c>
      <c r="BD39" s="17"/>
      <c r="BE39" s="16">
        <v>10.0</v>
      </c>
      <c r="BF39" s="17"/>
      <c r="BG39" s="17"/>
      <c r="BH39" s="18">
        <v>68.0</v>
      </c>
      <c r="BI39" s="17"/>
      <c r="BJ39" s="18">
        <v>11.0</v>
      </c>
      <c r="BK39" s="18">
        <v>191.0</v>
      </c>
      <c r="BL39" s="17">
        <f t="shared" si="12"/>
        <v>0.05759162304</v>
      </c>
      <c r="BM39" s="19">
        <v>4.0</v>
      </c>
      <c r="BN39" s="19">
        <v>53.0</v>
      </c>
      <c r="BO39" s="17">
        <f t="shared" si="13"/>
        <v>0.07547169811</v>
      </c>
      <c r="BP39" s="16">
        <v>11.0</v>
      </c>
      <c r="BQ39" s="16">
        <v>78.0</v>
      </c>
      <c r="BR39" s="17">
        <f t="shared" si="14"/>
        <v>0.141025641</v>
      </c>
      <c r="BS39" s="16">
        <v>136.0</v>
      </c>
      <c r="BT39" s="16">
        <v>243.0</v>
      </c>
      <c r="BU39" s="17">
        <f t="shared" si="15"/>
        <v>0.5596707819</v>
      </c>
      <c r="BV39" s="18">
        <v>22.0</v>
      </c>
      <c r="BW39" s="18">
        <v>113.0</v>
      </c>
      <c r="BX39" s="17">
        <f t="shared" si="16"/>
        <v>0.1946902655</v>
      </c>
      <c r="BY39" s="16">
        <v>2.0</v>
      </c>
      <c r="BZ39" s="16">
        <v>81.0</v>
      </c>
      <c r="CA39" s="13">
        <f t="shared" si="59"/>
        <v>0.02469135802</v>
      </c>
      <c r="CB39" s="18">
        <v>2.0</v>
      </c>
      <c r="CC39" s="18">
        <v>57.0</v>
      </c>
      <c r="CD39" s="17">
        <f t="shared" si="17"/>
        <v>0.0350877193</v>
      </c>
      <c r="CE39" s="16">
        <v>60.0</v>
      </c>
      <c r="CF39" s="8">
        <v>376.0</v>
      </c>
      <c r="CG39" s="17">
        <f t="shared" si="18"/>
        <v>0.1595744681</v>
      </c>
      <c r="CH39" s="16">
        <v>0.0</v>
      </c>
      <c r="CI39" s="16">
        <v>10.0</v>
      </c>
      <c r="CJ39" s="17">
        <f t="shared" si="19"/>
        <v>0</v>
      </c>
      <c r="CK39" s="16">
        <v>4.0</v>
      </c>
      <c r="CL39" s="16">
        <v>104.0</v>
      </c>
      <c r="CM39" s="17">
        <f t="shared" si="20"/>
        <v>0.03846153846</v>
      </c>
      <c r="CN39" s="16">
        <v>7.0</v>
      </c>
      <c r="CO39" s="16">
        <v>113.0</v>
      </c>
      <c r="CP39" s="17">
        <f t="shared" si="21"/>
        <v>0.06194690265</v>
      </c>
      <c r="CQ39" s="16">
        <v>29.0</v>
      </c>
      <c r="CR39" s="16">
        <v>500.0</v>
      </c>
      <c r="CS39" s="17">
        <f t="shared" si="22"/>
        <v>0.058</v>
      </c>
      <c r="CT39" s="16">
        <v>6.0</v>
      </c>
      <c r="CU39" s="16">
        <v>129.0</v>
      </c>
      <c r="CV39" s="17">
        <f t="shared" si="23"/>
        <v>0.04651162791</v>
      </c>
      <c r="CW39" s="16">
        <v>2.0</v>
      </c>
      <c r="CX39" s="16">
        <v>57.0</v>
      </c>
      <c r="CY39" s="17">
        <f t="shared" si="24"/>
        <v>0.0350877193</v>
      </c>
      <c r="CZ39" s="16">
        <v>120.0</v>
      </c>
      <c r="DA39" s="16">
        <v>279.0</v>
      </c>
      <c r="DB39" s="17">
        <f t="shared" si="56"/>
        <v>0.4301075269</v>
      </c>
      <c r="DC39" s="16">
        <v>30.0</v>
      </c>
      <c r="DD39" s="16">
        <v>119.0</v>
      </c>
      <c r="DE39" s="17">
        <f t="shared" si="25"/>
        <v>0.2521008403</v>
      </c>
      <c r="DF39" s="16">
        <v>33.0</v>
      </c>
      <c r="DG39" s="16">
        <v>96.0</v>
      </c>
      <c r="DH39" s="17">
        <f t="shared" si="62"/>
        <v>0.34375</v>
      </c>
      <c r="DI39" s="16">
        <v>8.0</v>
      </c>
      <c r="DJ39" s="16">
        <v>124.0</v>
      </c>
      <c r="DK39" s="17">
        <f t="shared" si="26"/>
        <v>0.06451612903</v>
      </c>
      <c r="DL39" s="16">
        <v>8.0</v>
      </c>
      <c r="DM39" s="16">
        <v>37.0</v>
      </c>
      <c r="DN39" s="17">
        <f t="shared" si="27"/>
        <v>0.2162162162</v>
      </c>
      <c r="DO39" s="16">
        <v>1.0</v>
      </c>
      <c r="DP39" s="16">
        <v>27.0</v>
      </c>
      <c r="DQ39" s="17">
        <f t="shared" si="28"/>
        <v>0.03703703704</v>
      </c>
      <c r="DR39" s="16">
        <v>40.0</v>
      </c>
      <c r="DS39" s="16">
        <v>146.0</v>
      </c>
      <c r="DT39" s="17">
        <f t="shared" si="29"/>
        <v>0.2739726027</v>
      </c>
      <c r="DU39" s="16">
        <v>133.0</v>
      </c>
      <c r="DV39" s="16">
        <v>438.0</v>
      </c>
      <c r="DW39" s="17">
        <f t="shared" si="57"/>
        <v>0.303652968</v>
      </c>
      <c r="DX39" s="16">
        <v>1.0</v>
      </c>
      <c r="DY39" s="16">
        <v>34.0</v>
      </c>
      <c r="DZ39" s="17">
        <f t="shared" si="30"/>
        <v>0.02941176471</v>
      </c>
      <c r="EA39" s="22">
        <v>68.0</v>
      </c>
      <c r="EB39" s="16">
        <v>505.0</v>
      </c>
      <c r="EC39" s="17">
        <f t="shared" si="31"/>
        <v>0.1346534653</v>
      </c>
      <c r="ED39" s="16">
        <v>3.0</v>
      </c>
      <c r="EE39" s="16">
        <v>32.0</v>
      </c>
      <c r="EF39" s="17">
        <f t="shared" si="32"/>
        <v>0.09375</v>
      </c>
      <c r="EG39" s="16">
        <v>7.0</v>
      </c>
      <c r="EH39" s="16">
        <v>100.0</v>
      </c>
      <c r="EI39" s="17">
        <f t="shared" si="33"/>
        <v>0.07</v>
      </c>
      <c r="EJ39" s="16">
        <v>90.0</v>
      </c>
      <c r="EK39" s="16">
        <v>592.0</v>
      </c>
      <c r="EL39" s="17">
        <f t="shared" si="34"/>
        <v>0.152027027</v>
      </c>
      <c r="EM39" s="16">
        <v>1.0</v>
      </c>
      <c r="EN39" s="16">
        <v>19.0</v>
      </c>
      <c r="EO39" s="17">
        <f t="shared" si="35"/>
        <v>0.05263157895</v>
      </c>
      <c r="EP39" s="16">
        <v>18.0</v>
      </c>
      <c r="EQ39" s="16">
        <v>197.0</v>
      </c>
      <c r="ER39" s="17">
        <f t="shared" si="60"/>
        <v>0.09137055838</v>
      </c>
      <c r="ES39" s="16">
        <v>4.0</v>
      </c>
      <c r="ET39" s="16">
        <v>113.0</v>
      </c>
      <c r="EU39" s="17">
        <f t="shared" si="36"/>
        <v>0.03539823009</v>
      </c>
      <c r="EV39" s="16">
        <v>22.0</v>
      </c>
      <c r="EW39" s="16">
        <v>82.0</v>
      </c>
      <c r="EX39" s="17">
        <f t="shared" si="64"/>
        <v>0.2682926829</v>
      </c>
      <c r="EY39" s="8">
        <v>287.0</v>
      </c>
      <c r="EZ39" s="8">
        <v>538.0</v>
      </c>
      <c r="FA39" s="17">
        <f t="shared" si="37"/>
        <v>0.5334572491</v>
      </c>
      <c r="FB39" s="16">
        <v>408.0</v>
      </c>
      <c r="FC39" s="16">
        <v>1866.0</v>
      </c>
      <c r="FD39" s="17">
        <f t="shared" si="38"/>
        <v>0.2102009274</v>
      </c>
      <c r="FE39" s="8">
        <v>28.0</v>
      </c>
      <c r="FF39" s="16">
        <v>89.0</v>
      </c>
      <c r="FG39" s="17">
        <f t="shared" si="39"/>
        <v>0.3146067416</v>
      </c>
      <c r="FH39" s="16">
        <v>10.0</v>
      </c>
      <c r="FI39" s="16">
        <v>100.0</v>
      </c>
      <c r="FJ39" s="17">
        <f t="shared" si="40"/>
        <v>0.1</v>
      </c>
      <c r="FK39" s="16">
        <v>2.0</v>
      </c>
      <c r="FL39" s="16">
        <v>55.0</v>
      </c>
      <c r="FM39" s="17">
        <f t="shared" si="41"/>
        <v>0.03636363636</v>
      </c>
      <c r="FN39" s="16">
        <v>41.0</v>
      </c>
      <c r="FO39" s="16">
        <v>131.0</v>
      </c>
      <c r="FP39" s="17">
        <f t="shared" si="42"/>
        <v>0.3129770992</v>
      </c>
      <c r="FQ39" s="16">
        <v>14.0</v>
      </c>
      <c r="FR39" s="16">
        <v>86.0</v>
      </c>
      <c r="FS39" s="17">
        <f t="shared" si="43"/>
        <v>0.1627906977</v>
      </c>
      <c r="FT39" s="16">
        <v>98.0</v>
      </c>
      <c r="FU39" s="16"/>
      <c r="FV39" s="16"/>
      <c r="FW39" s="16">
        <v>2.0</v>
      </c>
      <c r="FX39" s="16">
        <v>41.0</v>
      </c>
      <c r="FY39" s="17">
        <f t="shared" si="44"/>
        <v>0.0487804878</v>
      </c>
      <c r="FZ39" s="16">
        <v>5.0</v>
      </c>
      <c r="GA39" s="16"/>
      <c r="GB39" s="16"/>
      <c r="GC39" s="16">
        <v>5.0</v>
      </c>
      <c r="GD39" s="16">
        <v>141.0</v>
      </c>
      <c r="GE39" s="17">
        <f t="shared" si="45"/>
        <v>0.03546099291</v>
      </c>
      <c r="GF39" s="16">
        <v>10.0</v>
      </c>
      <c r="GG39" s="16">
        <v>125.0</v>
      </c>
      <c r="GH39" s="17">
        <f t="shared" si="46"/>
        <v>0.08</v>
      </c>
      <c r="GI39" s="16">
        <v>324.0</v>
      </c>
      <c r="GJ39" s="16">
        <v>714.0</v>
      </c>
      <c r="GK39" s="17">
        <f t="shared" si="47"/>
        <v>0.4537815126</v>
      </c>
      <c r="GL39" s="16">
        <v>34.0</v>
      </c>
      <c r="GM39" s="16">
        <v>151.0</v>
      </c>
      <c r="GN39" s="17">
        <f t="shared" si="63"/>
        <v>0.2251655629</v>
      </c>
      <c r="GO39" s="16">
        <v>3.0</v>
      </c>
      <c r="GP39" s="16">
        <v>23.0</v>
      </c>
      <c r="GQ39" s="17">
        <f t="shared" si="49"/>
        <v>0.1304347826</v>
      </c>
      <c r="GR39" s="16">
        <v>2.0</v>
      </c>
      <c r="GS39" s="16">
        <v>54.0</v>
      </c>
      <c r="GT39" s="17">
        <f t="shared" si="50"/>
        <v>0.03703703704</v>
      </c>
      <c r="GU39" s="8">
        <v>1.0</v>
      </c>
      <c r="GV39" s="16">
        <v>20.0</v>
      </c>
      <c r="GW39" s="17">
        <f t="shared" si="51"/>
        <v>0.05</v>
      </c>
      <c r="GX39" s="16">
        <v>123.0</v>
      </c>
      <c r="GY39" s="16">
        <v>857.0</v>
      </c>
      <c r="GZ39" s="16"/>
      <c r="HA39" s="16">
        <v>208.0</v>
      </c>
      <c r="HB39" s="16">
        <v>538.0</v>
      </c>
      <c r="HC39" s="17">
        <f t="shared" si="52"/>
        <v>0.3866171004</v>
      </c>
      <c r="HD39" s="16"/>
      <c r="HE39" s="16"/>
      <c r="HF39" s="16"/>
    </row>
    <row r="40" ht="15.75" customHeight="1">
      <c r="A40" s="1">
        <f t="shared" si="58"/>
        <v>44927</v>
      </c>
      <c r="B40" s="8">
        <v>424.0</v>
      </c>
      <c r="C40" s="23">
        <v>1170.0</v>
      </c>
      <c r="D40" s="9">
        <f t="shared" si="1"/>
        <v>0.3623931624</v>
      </c>
      <c r="E40" s="8">
        <v>6.0</v>
      </c>
      <c r="F40" s="8">
        <v>150.0</v>
      </c>
      <c r="G40" s="9">
        <f t="shared" si="2"/>
        <v>0.04</v>
      </c>
      <c r="H40" s="8">
        <v>367.0</v>
      </c>
      <c r="I40" s="8">
        <v>983.0</v>
      </c>
      <c r="J40" s="9">
        <f t="shared" si="3"/>
        <v>0.3733468973</v>
      </c>
      <c r="K40" s="8">
        <v>134.0</v>
      </c>
      <c r="L40" s="8">
        <v>301.0</v>
      </c>
      <c r="M40" s="9">
        <f t="shared" si="61"/>
        <v>0.4451827243</v>
      </c>
      <c r="N40" s="8">
        <v>1229.0</v>
      </c>
      <c r="O40" s="8">
        <v>2814.0</v>
      </c>
      <c r="P40" s="9">
        <f t="shared" si="4"/>
        <v>0.4367448472</v>
      </c>
      <c r="Q40" s="8">
        <v>12.0</v>
      </c>
      <c r="T40" s="8">
        <v>260.0</v>
      </c>
      <c r="U40" s="8">
        <v>570.0</v>
      </c>
      <c r="V40" s="9">
        <f t="shared" si="53"/>
        <v>0.4561403509</v>
      </c>
      <c r="W40" s="8">
        <v>59.0</v>
      </c>
      <c r="X40" s="8">
        <v>550.0</v>
      </c>
      <c r="Y40" s="9">
        <f t="shared" si="5"/>
        <v>0.1072727273</v>
      </c>
      <c r="Z40" s="8">
        <v>49.0</v>
      </c>
      <c r="AA40" s="8">
        <v>325.0</v>
      </c>
      <c r="AB40" s="9">
        <f t="shared" si="54"/>
        <v>0.1507692308</v>
      </c>
      <c r="AC40" s="8">
        <v>81.0</v>
      </c>
      <c r="AD40" s="8">
        <v>1207.0</v>
      </c>
      <c r="AE40" s="9">
        <f t="shared" si="55"/>
        <v>0.06710853355</v>
      </c>
      <c r="AF40" s="8">
        <v>18.0</v>
      </c>
      <c r="AG40" s="8">
        <v>383.0</v>
      </c>
      <c r="AH40" s="9">
        <f t="shared" si="6"/>
        <v>0.04699738903</v>
      </c>
      <c r="AI40" s="10">
        <v>43.0</v>
      </c>
      <c r="AJ40" s="8">
        <v>287.0</v>
      </c>
      <c r="AK40" s="9">
        <f t="shared" si="7"/>
        <v>0.149825784</v>
      </c>
      <c r="AL40" s="16">
        <v>91.0</v>
      </c>
      <c r="AM40" s="16">
        <v>326.0</v>
      </c>
      <c r="AN40" s="17">
        <f t="shared" si="8"/>
        <v>0.2791411043</v>
      </c>
      <c r="AO40" s="18">
        <v>3.0</v>
      </c>
      <c r="AP40" s="18">
        <v>93.0</v>
      </c>
      <c r="AQ40" s="17">
        <f t="shared" si="9"/>
        <v>0.03225806452</v>
      </c>
      <c r="AR40" s="16">
        <v>13.0</v>
      </c>
      <c r="AS40" s="16">
        <v>112.0</v>
      </c>
      <c r="AT40" s="17">
        <f t="shared" si="65"/>
        <v>0.1160714286</v>
      </c>
      <c r="AU40" s="16">
        <v>486.0</v>
      </c>
      <c r="AV40" s="17"/>
      <c r="AW40" s="17"/>
      <c r="AX40" s="21" t="s">
        <v>78</v>
      </c>
      <c r="AY40" s="21" t="s">
        <v>95</v>
      </c>
      <c r="AZ40" s="17">
        <f t="shared" si="10"/>
        <v>0.05194805195</v>
      </c>
      <c r="BA40" s="16">
        <v>6.0</v>
      </c>
      <c r="BB40" s="16">
        <v>40.0</v>
      </c>
      <c r="BC40" s="17">
        <f t="shared" si="11"/>
        <v>0.15</v>
      </c>
      <c r="BD40" s="16"/>
      <c r="BE40" s="16">
        <v>15.0</v>
      </c>
      <c r="BF40" s="17"/>
      <c r="BG40" s="17"/>
      <c r="BH40" s="18">
        <v>68.0</v>
      </c>
      <c r="BI40" s="17"/>
      <c r="BJ40" s="18">
        <v>9.0</v>
      </c>
      <c r="BK40" s="18">
        <v>179.0</v>
      </c>
      <c r="BL40" s="17">
        <f t="shared" si="12"/>
        <v>0.05027932961</v>
      </c>
      <c r="BM40" s="19">
        <v>3.0</v>
      </c>
      <c r="BN40" s="19">
        <v>43.0</v>
      </c>
      <c r="BO40" s="17">
        <f t="shared" si="13"/>
        <v>0.06976744186</v>
      </c>
      <c r="BP40" s="16">
        <v>13.0</v>
      </c>
      <c r="BQ40" s="16">
        <v>95.0</v>
      </c>
      <c r="BR40" s="17">
        <f t="shared" si="14"/>
        <v>0.1368421053</v>
      </c>
      <c r="BS40" s="16">
        <v>237.0</v>
      </c>
      <c r="BT40" s="16">
        <v>362.0</v>
      </c>
      <c r="BU40" s="17">
        <f t="shared" si="15"/>
        <v>0.6546961326</v>
      </c>
      <c r="BV40" s="18">
        <v>25.0</v>
      </c>
      <c r="BW40" s="18">
        <v>120.0</v>
      </c>
      <c r="BX40" s="17">
        <f t="shared" si="16"/>
        <v>0.2083333333</v>
      </c>
      <c r="BY40" s="16">
        <v>4.0</v>
      </c>
      <c r="BZ40" s="16">
        <v>98.0</v>
      </c>
      <c r="CA40" s="13">
        <f t="shared" si="59"/>
        <v>0.04081632653</v>
      </c>
      <c r="CB40" s="18">
        <v>0.0</v>
      </c>
      <c r="CC40" s="18">
        <v>71.0</v>
      </c>
      <c r="CD40" s="17">
        <f t="shared" si="17"/>
        <v>0</v>
      </c>
      <c r="CE40" s="16">
        <v>62.0</v>
      </c>
      <c r="CF40" s="8">
        <v>350.0</v>
      </c>
      <c r="CG40" s="17">
        <f t="shared" si="18"/>
        <v>0.1771428571</v>
      </c>
      <c r="CH40" s="16">
        <v>3.0</v>
      </c>
      <c r="CI40" s="16">
        <v>18.0</v>
      </c>
      <c r="CJ40" s="17">
        <f t="shared" si="19"/>
        <v>0.1666666667</v>
      </c>
      <c r="CK40" s="16">
        <v>3.0</v>
      </c>
      <c r="CL40" s="16">
        <v>94.0</v>
      </c>
      <c r="CM40" s="17">
        <f t="shared" si="20"/>
        <v>0.03191489362</v>
      </c>
      <c r="CN40" s="16">
        <v>13.0</v>
      </c>
      <c r="CO40" s="16">
        <v>117.0</v>
      </c>
      <c r="CP40" s="17">
        <f t="shared" si="21"/>
        <v>0.1111111111</v>
      </c>
      <c r="CQ40" s="16">
        <v>51.0</v>
      </c>
      <c r="CR40" s="16">
        <v>545.0</v>
      </c>
      <c r="CS40" s="17">
        <f t="shared" si="22"/>
        <v>0.09357798165</v>
      </c>
      <c r="CT40" s="16">
        <v>28.0</v>
      </c>
      <c r="CU40" s="16">
        <v>150.0</v>
      </c>
      <c r="CV40" s="17">
        <f t="shared" si="23"/>
        <v>0.1866666667</v>
      </c>
      <c r="CW40" s="16">
        <v>0.0</v>
      </c>
      <c r="CX40" s="16">
        <v>71.0</v>
      </c>
      <c r="CY40" s="17">
        <f t="shared" si="24"/>
        <v>0</v>
      </c>
      <c r="CZ40" s="16">
        <v>106.0</v>
      </c>
      <c r="DA40" s="16">
        <v>240.0</v>
      </c>
      <c r="DB40" s="17">
        <f t="shared" si="56"/>
        <v>0.4416666667</v>
      </c>
      <c r="DC40" s="16">
        <v>48.0</v>
      </c>
      <c r="DD40" s="16">
        <v>119.0</v>
      </c>
      <c r="DE40" s="17">
        <f t="shared" si="25"/>
        <v>0.4033613445</v>
      </c>
      <c r="DF40" s="16">
        <v>30.0</v>
      </c>
      <c r="DG40" s="16">
        <v>98.0</v>
      </c>
      <c r="DH40" s="17">
        <f t="shared" si="62"/>
        <v>0.306122449</v>
      </c>
      <c r="DI40" s="16">
        <v>15.0</v>
      </c>
      <c r="DJ40" s="16">
        <v>144.0</v>
      </c>
      <c r="DK40" s="17">
        <f t="shared" si="26"/>
        <v>0.1041666667</v>
      </c>
      <c r="DL40" s="16">
        <v>13.0</v>
      </c>
      <c r="DM40" s="16">
        <v>33.0</v>
      </c>
      <c r="DN40" s="17">
        <f t="shared" si="27"/>
        <v>0.3939393939</v>
      </c>
      <c r="DO40" s="16">
        <v>3.0</v>
      </c>
      <c r="DP40" s="16">
        <v>45.0</v>
      </c>
      <c r="DQ40" s="17">
        <f t="shared" si="28"/>
        <v>0.06666666667</v>
      </c>
      <c r="DR40" s="16">
        <v>45.0</v>
      </c>
      <c r="DS40" s="16">
        <v>154.0</v>
      </c>
      <c r="DT40" s="17">
        <f t="shared" si="29"/>
        <v>0.2922077922</v>
      </c>
      <c r="DU40" s="16">
        <v>272.0</v>
      </c>
      <c r="DV40" s="16">
        <v>558.0</v>
      </c>
      <c r="DW40" s="17">
        <f t="shared" si="57"/>
        <v>0.4874551971</v>
      </c>
      <c r="DX40" s="16">
        <v>5.0</v>
      </c>
      <c r="DY40" s="16">
        <v>19.0</v>
      </c>
      <c r="DZ40" s="17">
        <f t="shared" si="30"/>
        <v>0.2631578947</v>
      </c>
      <c r="EA40" s="22">
        <v>88.0</v>
      </c>
      <c r="EB40" s="16">
        <v>446.0</v>
      </c>
      <c r="EC40" s="17">
        <f t="shared" si="31"/>
        <v>0.197309417</v>
      </c>
      <c r="ED40" s="16">
        <v>0.0</v>
      </c>
      <c r="EE40" s="16">
        <v>25.0</v>
      </c>
      <c r="EF40" s="17">
        <f t="shared" si="32"/>
        <v>0</v>
      </c>
      <c r="EG40" s="16">
        <v>6.0</v>
      </c>
      <c r="EH40" s="16">
        <v>74.0</v>
      </c>
      <c r="EI40" s="17">
        <f t="shared" si="33"/>
        <v>0.08108108108</v>
      </c>
      <c r="EJ40" s="16">
        <v>93.0</v>
      </c>
      <c r="EK40" s="16">
        <v>594.0</v>
      </c>
      <c r="EL40" s="17">
        <f t="shared" si="34"/>
        <v>0.1565656566</v>
      </c>
      <c r="EM40" s="16">
        <v>8.0</v>
      </c>
      <c r="EN40" s="16">
        <v>42.0</v>
      </c>
      <c r="EO40" s="17">
        <f t="shared" si="35"/>
        <v>0.1904761905</v>
      </c>
      <c r="EP40" s="16">
        <v>50.0</v>
      </c>
      <c r="EQ40" s="16">
        <v>224.0</v>
      </c>
      <c r="ER40" s="17">
        <f t="shared" si="60"/>
        <v>0.2232142857</v>
      </c>
      <c r="ES40" s="16">
        <v>11.0</v>
      </c>
      <c r="ET40" s="16">
        <v>129.0</v>
      </c>
      <c r="EU40" s="17">
        <f t="shared" si="36"/>
        <v>0.08527131783</v>
      </c>
      <c r="EV40" s="16">
        <v>32.0</v>
      </c>
      <c r="EW40" s="16">
        <v>82.0</v>
      </c>
      <c r="EX40" s="17">
        <f t="shared" si="64"/>
        <v>0.3902439024</v>
      </c>
      <c r="EY40" s="8">
        <v>325.0</v>
      </c>
      <c r="EZ40" s="8">
        <v>593.0</v>
      </c>
      <c r="FA40" s="17">
        <f t="shared" si="37"/>
        <v>0.5480607083</v>
      </c>
      <c r="FB40" s="16">
        <v>419.0</v>
      </c>
      <c r="FC40" s="16">
        <v>1941.0</v>
      </c>
      <c r="FD40" s="17">
        <f t="shared" si="38"/>
        <v>0.236056338</v>
      </c>
      <c r="FE40" s="8">
        <v>42.0</v>
      </c>
      <c r="FF40" s="16">
        <v>95.0</v>
      </c>
      <c r="FG40" s="17">
        <f t="shared" si="39"/>
        <v>0.4421052632</v>
      </c>
      <c r="FH40" s="16">
        <v>16.0</v>
      </c>
      <c r="FI40" s="16">
        <v>101.0</v>
      </c>
      <c r="FJ40" s="17">
        <f t="shared" si="40"/>
        <v>0.1584158416</v>
      </c>
      <c r="FK40" s="16">
        <v>4.0</v>
      </c>
      <c r="FL40" s="16">
        <v>62.0</v>
      </c>
      <c r="FM40" s="17">
        <f t="shared" si="41"/>
        <v>0.06451612903</v>
      </c>
      <c r="FN40" s="16">
        <v>230.0</v>
      </c>
      <c r="FO40" s="16">
        <v>322.0</v>
      </c>
      <c r="FP40" s="17">
        <f t="shared" si="42"/>
        <v>0.7142857143</v>
      </c>
      <c r="FQ40" s="16">
        <v>27.0</v>
      </c>
      <c r="FR40" s="16">
        <v>87.0</v>
      </c>
      <c r="FS40" s="17">
        <f t="shared" si="43"/>
        <v>0.3103448276</v>
      </c>
      <c r="FT40" s="16">
        <v>42.0</v>
      </c>
      <c r="FU40" s="16"/>
      <c r="FV40" s="16"/>
      <c r="FW40" s="16">
        <v>13.0</v>
      </c>
      <c r="FX40" s="16">
        <v>38.0</v>
      </c>
      <c r="FY40" s="17">
        <f t="shared" si="44"/>
        <v>0.3421052632</v>
      </c>
      <c r="FZ40" s="16">
        <v>11.0</v>
      </c>
      <c r="GA40" s="16"/>
      <c r="GB40" s="16"/>
      <c r="GC40" s="16">
        <v>5.0</v>
      </c>
      <c r="GD40" s="16">
        <v>150.0</v>
      </c>
      <c r="GE40" s="17">
        <f t="shared" si="45"/>
        <v>0.03333333333</v>
      </c>
      <c r="GF40" s="16">
        <v>6.0</v>
      </c>
      <c r="GG40" s="16">
        <v>109.0</v>
      </c>
      <c r="GH40" s="17">
        <f t="shared" si="46"/>
        <v>0.05504587156</v>
      </c>
      <c r="GI40" s="16">
        <v>419.0</v>
      </c>
      <c r="GJ40" s="16">
        <v>821.0</v>
      </c>
      <c r="GK40" s="17">
        <f t="shared" si="47"/>
        <v>0.5103532278</v>
      </c>
      <c r="GL40" s="16">
        <v>35.0</v>
      </c>
      <c r="GM40" s="16">
        <v>157.0</v>
      </c>
      <c r="GN40" s="17">
        <f t="shared" si="63"/>
        <v>0.2229299363</v>
      </c>
      <c r="GO40" s="16">
        <v>10.0</v>
      </c>
      <c r="GP40" s="16">
        <v>32.0</v>
      </c>
      <c r="GQ40" s="17">
        <f t="shared" si="49"/>
        <v>0.3125</v>
      </c>
      <c r="GR40" s="16">
        <v>9.0</v>
      </c>
      <c r="GS40" s="16">
        <v>54.0</v>
      </c>
      <c r="GT40" s="17">
        <f t="shared" si="50"/>
        <v>0.1666666667</v>
      </c>
      <c r="GU40" s="8">
        <v>0.0</v>
      </c>
      <c r="GV40" s="16">
        <v>33.0</v>
      </c>
      <c r="GW40" s="17">
        <f t="shared" si="51"/>
        <v>0</v>
      </c>
      <c r="GX40" s="16">
        <v>136.0</v>
      </c>
      <c r="GY40" s="16"/>
      <c r="GZ40" s="16"/>
      <c r="HA40" s="16">
        <v>369.0</v>
      </c>
      <c r="HB40" s="16">
        <v>703.0</v>
      </c>
      <c r="HC40" s="17">
        <f t="shared" si="52"/>
        <v>0.5248933144</v>
      </c>
      <c r="HD40" s="16"/>
      <c r="HE40" s="16"/>
      <c r="HF40" s="16"/>
    </row>
    <row r="41" ht="15.75" customHeight="1">
      <c r="A41" s="1">
        <f t="shared" si="58"/>
        <v>44958</v>
      </c>
      <c r="B41" s="8">
        <v>298.0</v>
      </c>
      <c r="C41" s="8">
        <v>940.0</v>
      </c>
      <c r="D41" s="9">
        <f t="shared" si="1"/>
        <v>0.3170212766</v>
      </c>
      <c r="E41" s="8">
        <v>17.0</v>
      </c>
      <c r="F41" s="8">
        <v>121.0</v>
      </c>
      <c r="G41" s="9">
        <f t="shared" si="2"/>
        <v>0.1404958678</v>
      </c>
      <c r="H41" s="8">
        <v>280.0</v>
      </c>
      <c r="I41" s="8">
        <v>802.0</v>
      </c>
      <c r="J41" s="9">
        <f t="shared" si="3"/>
        <v>0.349127182</v>
      </c>
      <c r="K41" s="8">
        <v>160.0</v>
      </c>
      <c r="L41" s="8">
        <v>331.0</v>
      </c>
      <c r="M41" s="9">
        <f t="shared" si="61"/>
        <v>0.4833836858</v>
      </c>
      <c r="N41" s="8">
        <v>877.0</v>
      </c>
      <c r="O41" s="8">
        <v>2169.0</v>
      </c>
      <c r="P41" s="9">
        <f t="shared" si="4"/>
        <v>0.4043337944</v>
      </c>
      <c r="Q41" s="8">
        <v>15.0</v>
      </c>
      <c r="T41" s="8">
        <v>297.0</v>
      </c>
      <c r="U41" s="8">
        <v>588.0</v>
      </c>
      <c r="V41" s="9">
        <f t="shared" si="53"/>
        <v>0.5051020408</v>
      </c>
      <c r="W41" s="8">
        <v>78.0</v>
      </c>
      <c r="X41" s="8">
        <v>483.0</v>
      </c>
      <c r="Y41" s="9">
        <f t="shared" si="5"/>
        <v>0.1614906832</v>
      </c>
      <c r="Z41" s="8">
        <v>56.0</v>
      </c>
      <c r="AA41" s="8">
        <v>232.0</v>
      </c>
      <c r="AB41" s="9">
        <f t="shared" si="54"/>
        <v>0.2413793103</v>
      </c>
      <c r="AC41" s="8">
        <v>116.0</v>
      </c>
      <c r="AD41" s="8">
        <v>1037.0</v>
      </c>
      <c r="AE41" s="9">
        <f t="shared" si="55"/>
        <v>0.1118611379</v>
      </c>
      <c r="AF41" s="8">
        <v>16.0</v>
      </c>
      <c r="AG41" s="8">
        <v>333.0</v>
      </c>
      <c r="AH41" s="9">
        <f t="shared" si="6"/>
        <v>0.04804804805</v>
      </c>
      <c r="AI41" s="10">
        <v>39.0</v>
      </c>
      <c r="AJ41" s="8">
        <v>249.0</v>
      </c>
      <c r="AK41" s="9">
        <f t="shared" si="7"/>
        <v>0.156626506</v>
      </c>
      <c r="AL41" s="16">
        <v>101.0</v>
      </c>
      <c r="AM41" s="16">
        <v>299.0</v>
      </c>
      <c r="AN41" s="17">
        <f t="shared" si="8"/>
        <v>0.3377926421</v>
      </c>
      <c r="AO41" s="18">
        <v>4.0</v>
      </c>
      <c r="AP41" s="18">
        <v>71.0</v>
      </c>
      <c r="AQ41" s="17">
        <f t="shared" si="9"/>
        <v>0.05633802817</v>
      </c>
      <c r="AR41" s="16">
        <v>4.0</v>
      </c>
      <c r="AS41" s="16">
        <v>47.0</v>
      </c>
      <c r="AT41" s="17">
        <f t="shared" si="65"/>
        <v>0.08510638298</v>
      </c>
      <c r="AU41" s="16">
        <v>436.0</v>
      </c>
      <c r="AV41" s="17"/>
      <c r="AW41" s="17"/>
      <c r="AX41" s="21" t="s">
        <v>87</v>
      </c>
      <c r="AY41" s="21" t="s">
        <v>93</v>
      </c>
      <c r="AZ41" s="17">
        <f t="shared" si="10"/>
        <v>0.08474576271</v>
      </c>
      <c r="BA41" s="16">
        <v>11.0</v>
      </c>
      <c r="BB41" s="16">
        <v>40.0</v>
      </c>
      <c r="BC41" s="17">
        <f t="shared" si="11"/>
        <v>0.275</v>
      </c>
      <c r="BD41" s="17"/>
      <c r="BE41" s="16">
        <v>10.0</v>
      </c>
      <c r="BF41" s="17"/>
      <c r="BG41" s="17"/>
      <c r="BH41" s="18">
        <v>84.0</v>
      </c>
      <c r="BI41" s="17"/>
      <c r="BJ41" s="18">
        <v>6.0</v>
      </c>
      <c r="BK41" s="18">
        <v>136.0</v>
      </c>
      <c r="BL41" s="17">
        <f t="shared" si="12"/>
        <v>0.04411764706</v>
      </c>
      <c r="BM41" s="19">
        <v>3.0</v>
      </c>
      <c r="BN41" s="19">
        <v>25.0</v>
      </c>
      <c r="BO41" s="17">
        <f t="shared" si="13"/>
        <v>0.12</v>
      </c>
      <c r="BP41" s="16">
        <v>5.0</v>
      </c>
      <c r="BQ41" s="16">
        <v>81.0</v>
      </c>
      <c r="BR41" s="17">
        <f t="shared" si="14"/>
        <v>0.06172839506</v>
      </c>
      <c r="BS41" s="16">
        <v>146.0</v>
      </c>
      <c r="BT41" s="16">
        <v>261.0</v>
      </c>
      <c r="BU41" s="17">
        <f t="shared" si="15"/>
        <v>0.5593869732</v>
      </c>
      <c r="BV41" s="18">
        <v>17.0</v>
      </c>
      <c r="BW41" s="18">
        <v>103.0</v>
      </c>
      <c r="BX41" s="17">
        <f t="shared" si="16"/>
        <v>0.1650485437</v>
      </c>
      <c r="BY41" s="16">
        <v>5.0</v>
      </c>
      <c r="BZ41" s="16">
        <v>94.0</v>
      </c>
      <c r="CA41" s="13">
        <f t="shared" si="59"/>
        <v>0.05319148936</v>
      </c>
      <c r="CB41" s="18">
        <v>1.0</v>
      </c>
      <c r="CC41" s="16">
        <v>52.0</v>
      </c>
      <c r="CD41" s="17">
        <f t="shared" si="17"/>
        <v>0.01923076923</v>
      </c>
      <c r="CE41" s="16">
        <v>96.0</v>
      </c>
      <c r="CF41" s="8">
        <v>382.0</v>
      </c>
      <c r="CG41" s="17">
        <f t="shared" si="18"/>
        <v>0.2513089005</v>
      </c>
      <c r="CH41" s="16">
        <v>5.0</v>
      </c>
      <c r="CI41" s="16">
        <v>16.0</v>
      </c>
      <c r="CJ41" s="17">
        <f t="shared" si="19"/>
        <v>0.3125</v>
      </c>
      <c r="CK41" s="16">
        <v>8.0</v>
      </c>
      <c r="CL41" s="16">
        <v>70.0</v>
      </c>
      <c r="CM41" s="17">
        <f t="shared" si="20"/>
        <v>0.1142857143</v>
      </c>
      <c r="CN41" s="16">
        <v>17.0</v>
      </c>
      <c r="CO41" s="16">
        <v>99.0</v>
      </c>
      <c r="CP41" s="17">
        <f t="shared" si="21"/>
        <v>0.1717171717</v>
      </c>
      <c r="CQ41" s="16">
        <v>66.0</v>
      </c>
      <c r="CR41" s="16">
        <v>420.0</v>
      </c>
      <c r="CS41" s="17">
        <f t="shared" si="22"/>
        <v>0.1571428571</v>
      </c>
      <c r="CT41" s="16">
        <v>20.0</v>
      </c>
      <c r="CU41" s="16">
        <v>130.0</v>
      </c>
      <c r="CV41" s="17">
        <f t="shared" si="23"/>
        <v>0.1538461538</v>
      </c>
      <c r="CW41" s="16">
        <v>1.0</v>
      </c>
      <c r="CX41" s="16">
        <v>52.0</v>
      </c>
      <c r="CY41" s="17">
        <f t="shared" si="24"/>
        <v>0.01923076923</v>
      </c>
      <c r="CZ41" s="16">
        <v>263.0</v>
      </c>
      <c r="DA41" s="16">
        <v>395.0</v>
      </c>
      <c r="DB41" s="17">
        <f t="shared" si="56"/>
        <v>0.6658227848</v>
      </c>
      <c r="DC41" s="16">
        <v>61.0</v>
      </c>
      <c r="DD41" s="16">
        <v>115.0</v>
      </c>
      <c r="DE41" s="17">
        <f t="shared" si="25"/>
        <v>0.5304347826</v>
      </c>
      <c r="DF41" s="16">
        <v>35.0</v>
      </c>
      <c r="DG41" s="16">
        <v>110.0</v>
      </c>
      <c r="DH41" s="17">
        <f t="shared" si="62"/>
        <v>0.3181818182</v>
      </c>
      <c r="DI41" s="16">
        <v>5.0</v>
      </c>
      <c r="DJ41" s="16">
        <v>124.0</v>
      </c>
      <c r="DK41" s="17">
        <f t="shared" si="26"/>
        <v>0.04032258065</v>
      </c>
      <c r="DL41" s="16">
        <v>4.0</v>
      </c>
      <c r="DM41" s="16">
        <v>19.0</v>
      </c>
      <c r="DN41" s="17">
        <f t="shared" si="27"/>
        <v>0.2105263158</v>
      </c>
      <c r="DO41" s="16">
        <v>1.0</v>
      </c>
      <c r="DP41" s="16">
        <v>33.0</v>
      </c>
      <c r="DQ41" s="17">
        <f t="shared" si="28"/>
        <v>0.0303030303</v>
      </c>
      <c r="DR41" s="16">
        <v>73.0</v>
      </c>
      <c r="DS41" s="16">
        <v>152.0</v>
      </c>
      <c r="DT41" s="17">
        <f t="shared" si="29"/>
        <v>0.4802631579</v>
      </c>
      <c r="DU41" s="16">
        <v>304.0</v>
      </c>
      <c r="DV41" s="16">
        <v>581.0</v>
      </c>
      <c r="DW41" s="17">
        <f t="shared" si="57"/>
        <v>0.5232358003</v>
      </c>
      <c r="DX41" s="16">
        <v>3.0</v>
      </c>
      <c r="DY41" s="16">
        <v>19.0</v>
      </c>
      <c r="DZ41" s="17">
        <f t="shared" si="30"/>
        <v>0.1578947368</v>
      </c>
      <c r="EA41" s="22">
        <v>142.0</v>
      </c>
      <c r="EB41" s="16">
        <v>499.0</v>
      </c>
      <c r="EC41" s="17">
        <f t="shared" si="31"/>
        <v>0.2845691383</v>
      </c>
      <c r="ED41" s="16">
        <v>9.0</v>
      </c>
      <c r="EE41" s="16">
        <v>31.0</v>
      </c>
      <c r="EF41" s="17">
        <f t="shared" si="32"/>
        <v>0.2903225806</v>
      </c>
      <c r="EG41" s="16">
        <v>5.0</v>
      </c>
      <c r="EH41" s="16">
        <v>60.0</v>
      </c>
      <c r="EI41" s="17">
        <f t="shared" si="33"/>
        <v>0.08333333333</v>
      </c>
      <c r="EJ41" s="16">
        <v>148.0</v>
      </c>
      <c r="EK41" s="16">
        <v>673.0</v>
      </c>
      <c r="EL41" s="17">
        <f t="shared" si="34"/>
        <v>0.219910847</v>
      </c>
      <c r="EM41" s="16">
        <v>2.0</v>
      </c>
      <c r="EN41" s="16">
        <v>9.0</v>
      </c>
      <c r="EO41" s="17">
        <f t="shared" si="35"/>
        <v>0.2222222222</v>
      </c>
      <c r="EP41" s="16">
        <v>33.0</v>
      </c>
      <c r="EQ41" s="16">
        <v>166.0</v>
      </c>
      <c r="ER41" s="17">
        <f t="shared" si="60"/>
        <v>0.1987951807</v>
      </c>
      <c r="ES41" s="16">
        <v>10.0</v>
      </c>
      <c r="ET41" s="16">
        <v>126.0</v>
      </c>
      <c r="EU41" s="17">
        <f t="shared" si="36"/>
        <v>0.07936507937</v>
      </c>
      <c r="EV41" s="16">
        <v>26.0</v>
      </c>
      <c r="EW41" s="16">
        <v>82.0</v>
      </c>
      <c r="EX41" s="17">
        <f t="shared" si="64"/>
        <v>0.3170731707</v>
      </c>
      <c r="EY41" s="8">
        <v>203.0</v>
      </c>
      <c r="EZ41" s="8">
        <v>430.0</v>
      </c>
      <c r="FA41" s="17">
        <f t="shared" si="37"/>
        <v>0.4720930233</v>
      </c>
      <c r="FB41" s="16">
        <v>465.0</v>
      </c>
      <c r="FC41" s="16">
        <v>1775.0</v>
      </c>
      <c r="FD41" s="17">
        <f t="shared" si="38"/>
        <v>0.2331995988</v>
      </c>
      <c r="FE41" s="8">
        <v>37.0</v>
      </c>
      <c r="FF41" s="16">
        <v>89.0</v>
      </c>
      <c r="FG41" s="17">
        <f t="shared" si="39"/>
        <v>0.4157303371</v>
      </c>
      <c r="FH41" s="16">
        <v>8.0</v>
      </c>
      <c r="FI41" s="16">
        <v>78.0</v>
      </c>
      <c r="FJ41" s="17">
        <f t="shared" si="40"/>
        <v>0.1025641026</v>
      </c>
      <c r="FK41" s="16">
        <v>3.0</v>
      </c>
      <c r="FL41" s="16">
        <v>53.0</v>
      </c>
      <c r="FM41" s="17">
        <f t="shared" si="41"/>
        <v>0.05660377358</v>
      </c>
      <c r="FN41" s="16">
        <v>256.0</v>
      </c>
      <c r="FO41" s="16">
        <v>313.0</v>
      </c>
      <c r="FP41" s="17">
        <f t="shared" si="42"/>
        <v>0.8178913738</v>
      </c>
      <c r="FQ41" s="16">
        <v>31.0</v>
      </c>
      <c r="FR41" s="16">
        <v>84.0</v>
      </c>
      <c r="FS41" s="17">
        <f t="shared" si="43"/>
        <v>0.369047619</v>
      </c>
      <c r="FT41" s="16">
        <v>39.0</v>
      </c>
      <c r="FU41" s="16"/>
      <c r="FV41" s="16"/>
      <c r="FW41" s="16">
        <v>7.0</v>
      </c>
      <c r="FX41" s="16">
        <v>29.0</v>
      </c>
      <c r="FY41" s="17">
        <f t="shared" si="44"/>
        <v>0.2413793103</v>
      </c>
      <c r="FZ41" s="16">
        <v>6.0</v>
      </c>
      <c r="GA41" s="16"/>
      <c r="GB41" s="16"/>
      <c r="GC41" s="16">
        <v>3.0</v>
      </c>
      <c r="GD41" s="16">
        <v>113.0</v>
      </c>
      <c r="GE41" s="17">
        <f t="shared" si="45"/>
        <v>0.02654867257</v>
      </c>
      <c r="GF41" s="16">
        <v>5.0</v>
      </c>
      <c r="GG41" s="16">
        <v>69.0</v>
      </c>
      <c r="GH41" s="17">
        <f t="shared" si="46"/>
        <v>0.07246376812</v>
      </c>
      <c r="GI41" s="16">
        <v>560.0</v>
      </c>
      <c r="GJ41" s="16">
        <v>921.0</v>
      </c>
      <c r="GK41" s="17">
        <f t="shared" si="47"/>
        <v>0.6080347448</v>
      </c>
      <c r="GL41" s="16">
        <v>45.0</v>
      </c>
      <c r="GM41" s="16">
        <v>178.0</v>
      </c>
      <c r="GN41" s="17">
        <f t="shared" si="63"/>
        <v>0.2528089888</v>
      </c>
      <c r="GO41" s="16">
        <v>2.0</v>
      </c>
      <c r="GP41" s="16">
        <v>16.0</v>
      </c>
      <c r="GQ41" s="17">
        <f t="shared" si="49"/>
        <v>0.125</v>
      </c>
      <c r="GR41" s="16">
        <v>28.0</v>
      </c>
      <c r="GS41" s="16">
        <v>79.0</v>
      </c>
      <c r="GT41" s="17">
        <f t="shared" si="50"/>
        <v>0.3544303797</v>
      </c>
      <c r="GU41" s="8">
        <v>2.0</v>
      </c>
      <c r="GV41" s="16">
        <v>19.0</v>
      </c>
      <c r="GW41" s="17">
        <f t="shared" si="51"/>
        <v>0.1052631579</v>
      </c>
      <c r="GX41" s="16">
        <v>124.0</v>
      </c>
      <c r="GY41" s="16"/>
      <c r="GZ41" s="16"/>
      <c r="HA41" s="16">
        <v>370.0</v>
      </c>
      <c r="HB41" s="16">
        <v>726.0</v>
      </c>
      <c r="HC41" s="17">
        <f t="shared" si="52"/>
        <v>0.5096418733</v>
      </c>
      <c r="HD41" s="16"/>
      <c r="HE41" s="16"/>
      <c r="HF41" s="16"/>
    </row>
    <row r="42" ht="15.75" customHeight="1">
      <c r="A42" s="1">
        <f t="shared" si="58"/>
        <v>44986</v>
      </c>
      <c r="B42" s="8">
        <v>209.0</v>
      </c>
      <c r="C42" s="8">
        <v>917.0</v>
      </c>
      <c r="D42" s="9">
        <f t="shared" si="1"/>
        <v>0.227917121</v>
      </c>
      <c r="E42" s="8">
        <v>15.0</v>
      </c>
      <c r="F42" s="8">
        <v>168.0</v>
      </c>
      <c r="G42" s="9">
        <f t="shared" si="2"/>
        <v>0.08928571429</v>
      </c>
      <c r="H42" s="8">
        <v>227.0</v>
      </c>
      <c r="I42" s="8">
        <v>747.0</v>
      </c>
      <c r="J42" s="9">
        <f t="shared" si="3"/>
        <v>0.3038821954</v>
      </c>
      <c r="K42" s="8">
        <v>206.0</v>
      </c>
      <c r="L42" s="8">
        <v>391.0</v>
      </c>
      <c r="M42" s="9">
        <f t="shared" si="61"/>
        <v>0.5268542199</v>
      </c>
      <c r="N42" s="8">
        <v>867.0</v>
      </c>
      <c r="O42" s="8">
        <v>2320.0</v>
      </c>
      <c r="P42" s="9">
        <f t="shared" si="4"/>
        <v>0.3737068966</v>
      </c>
      <c r="Q42" s="8">
        <v>17.0</v>
      </c>
      <c r="T42" s="8">
        <v>227.0</v>
      </c>
      <c r="U42" s="8">
        <v>493.0</v>
      </c>
      <c r="V42" s="9">
        <f t="shared" si="53"/>
        <v>0.4604462475</v>
      </c>
      <c r="W42" s="8">
        <v>91.0</v>
      </c>
      <c r="X42" s="8">
        <v>501.0</v>
      </c>
      <c r="Y42" s="9">
        <f t="shared" si="5"/>
        <v>0.1816367265</v>
      </c>
      <c r="Z42" s="8">
        <v>85.0</v>
      </c>
      <c r="AA42" s="8">
        <v>285.0</v>
      </c>
      <c r="AB42" s="9">
        <f t="shared" si="54"/>
        <v>0.298245614</v>
      </c>
      <c r="AC42" s="8">
        <v>173.0</v>
      </c>
      <c r="AD42" s="8">
        <v>1258.0</v>
      </c>
      <c r="AE42" s="9">
        <f t="shared" si="55"/>
        <v>0.1375198728</v>
      </c>
      <c r="AF42" s="8">
        <v>21.0</v>
      </c>
      <c r="AG42" s="8">
        <v>350.0</v>
      </c>
      <c r="AH42" s="9">
        <f t="shared" si="6"/>
        <v>0.06</v>
      </c>
      <c r="AI42" s="10">
        <v>39.0</v>
      </c>
      <c r="AJ42" s="8">
        <v>298.0</v>
      </c>
      <c r="AK42" s="9">
        <f t="shared" si="7"/>
        <v>0.1308724832</v>
      </c>
      <c r="AL42" s="16">
        <v>118.0</v>
      </c>
      <c r="AM42" s="16">
        <v>370.0</v>
      </c>
      <c r="AN42" s="17">
        <f t="shared" si="8"/>
        <v>0.3189189189</v>
      </c>
      <c r="AO42" s="18">
        <v>4.0</v>
      </c>
      <c r="AP42" s="18">
        <v>64.0</v>
      </c>
      <c r="AQ42" s="17">
        <f t="shared" si="9"/>
        <v>0.0625</v>
      </c>
      <c r="AR42" s="16">
        <v>10.0</v>
      </c>
      <c r="AS42" s="16">
        <v>78.0</v>
      </c>
      <c r="AT42" s="17">
        <f t="shared" si="65"/>
        <v>0.1282051282</v>
      </c>
      <c r="AU42" s="16">
        <v>584.0</v>
      </c>
      <c r="AV42" s="17"/>
      <c r="AW42" s="17"/>
      <c r="AX42" s="16">
        <v>6.0</v>
      </c>
      <c r="AY42" s="16">
        <v>86.0</v>
      </c>
      <c r="AZ42" s="17">
        <f t="shared" si="10"/>
        <v>0.06976744186</v>
      </c>
      <c r="BA42" s="16">
        <v>8.0</v>
      </c>
      <c r="BB42" s="16">
        <v>37.0</v>
      </c>
      <c r="BC42" s="17">
        <f t="shared" si="11"/>
        <v>0.2162162162</v>
      </c>
      <c r="BD42" s="17"/>
      <c r="BE42" s="16">
        <v>14.0</v>
      </c>
      <c r="BF42" s="17"/>
      <c r="BG42" s="17"/>
      <c r="BH42" s="18">
        <v>58.0</v>
      </c>
      <c r="BI42" s="17"/>
      <c r="BJ42" s="18">
        <v>7.0</v>
      </c>
      <c r="BK42" s="18">
        <v>169.0</v>
      </c>
      <c r="BL42" s="17">
        <f t="shared" si="12"/>
        <v>0.04142011834</v>
      </c>
      <c r="BM42" s="19">
        <v>4.0</v>
      </c>
      <c r="BN42" s="19">
        <v>52.0</v>
      </c>
      <c r="BO42" s="17">
        <f t="shared" si="13"/>
        <v>0.07692307692</v>
      </c>
      <c r="BP42" s="16">
        <v>5.0</v>
      </c>
      <c r="BQ42" s="16">
        <v>78.0</v>
      </c>
      <c r="BR42" s="17">
        <f t="shared" si="14"/>
        <v>0.0641025641</v>
      </c>
      <c r="BS42" s="16">
        <v>155.0</v>
      </c>
      <c r="BT42" s="16">
        <v>285.0</v>
      </c>
      <c r="BU42" s="17">
        <f t="shared" si="15"/>
        <v>0.5438596491</v>
      </c>
      <c r="BV42" s="18">
        <v>35.0</v>
      </c>
      <c r="BW42" s="18">
        <v>118.0</v>
      </c>
      <c r="BX42" s="17">
        <f t="shared" si="16"/>
        <v>0.2966101695</v>
      </c>
      <c r="BY42" s="16">
        <v>1.0</v>
      </c>
      <c r="BZ42" s="16">
        <v>105.0</v>
      </c>
      <c r="CA42" s="13">
        <f t="shared" si="59"/>
        <v>0.009523809524</v>
      </c>
      <c r="CB42" s="18">
        <v>5.0</v>
      </c>
      <c r="CC42" s="16">
        <v>61.0</v>
      </c>
      <c r="CD42" s="17">
        <f t="shared" si="17"/>
        <v>0.08196721311</v>
      </c>
      <c r="CE42" s="16">
        <v>111.0</v>
      </c>
      <c r="CF42" s="8">
        <v>402.0</v>
      </c>
      <c r="CG42" s="17">
        <f t="shared" si="18"/>
        <v>0.276119403</v>
      </c>
      <c r="CH42" s="16">
        <v>0.0</v>
      </c>
      <c r="CI42" s="16">
        <v>19.0</v>
      </c>
      <c r="CJ42" s="17">
        <f t="shared" si="19"/>
        <v>0</v>
      </c>
      <c r="CK42" s="16">
        <v>12.0</v>
      </c>
      <c r="CL42" s="16">
        <v>95.0</v>
      </c>
      <c r="CM42" s="17">
        <f t="shared" si="20"/>
        <v>0.1263157895</v>
      </c>
      <c r="CN42" s="16">
        <v>8.0</v>
      </c>
      <c r="CO42" s="16">
        <v>109.0</v>
      </c>
      <c r="CP42" s="17">
        <f t="shared" si="21"/>
        <v>0.07339449541</v>
      </c>
      <c r="CQ42" s="16">
        <v>45.0</v>
      </c>
      <c r="CR42" s="16">
        <v>447.0</v>
      </c>
      <c r="CS42" s="17">
        <f t="shared" si="22"/>
        <v>0.1006711409</v>
      </c>
      <c r="CT42" s="16">
        <v>25.0</v>
      </c>
      <c r="CU42" s="16">
        <v>147.0</v>
      </c>
      <c r="CV42" s="17">
        <f t="shared" si="23"/>
        <v>0.1700680272</v>
      </c>
      <c r="CW42" s="16">
        <v>5.0</v>
      </c>
      <c r="CX42" s="16">
        <v>61.0</v>
      </c>
      <c r="CY42" s="17">
        <f t="shared" si="24"/>
        <v>0.08196721311</v>
      </c>
      <c r="CZ42" s="16">
        <v>192.0</v>
      </c>
      <c r="DA42" s="16">
        <v>321.0</v>
      </c>
      <c r="DB42" s="17">
        <f t="shared" si="56"/>
        <v>0.5981308411</v>
      </c>
      <c r="DC42" s="16">
        <v>71.0</v>
      </c>
      <c r="DD42" s="16">
        <v>130.0</v>
      </c>
      <c r="DE42" s="17">
        <f t="shared" si="25"/>
        <v>0.5461538462</v>
      </c>
      <c r="DF42" s="16">
        <v>39.0</v>
      </c>
      <c r="DG42" s="16">
        <v>101.0</v>
      </c>
      <c r="DH42" s="17">
        <f t="shared" si="62"/>
        <v>0.3861386139</v>
      </c>
      <c r="DI42" s="16">
        <v>12.0</v>
      </c>
      <c r="DJ42" s="16">
        <v>175.0</v>
      </c>
      <c r="DK42" s="17">
        <f t="shared" si="26"/>
        <v>0.06857142857</v>
      </c>
      <c r="DL42" s="16">
        <v>5.0</v>
      </c>
      <c r="DM42" s="16">
        <v>27.0</v>
      </c>
      <c r="DN42" s="17">
        <f t="shared" si="27"/>
        <v>0.1851851852</v>
      </c>
      <c r="DO42" s="16">
        <v>2.0</v>
      </c>
      <c r="DP42" s="16">
        <v>30.0</v>
      </c>
      <c r="DQ42" s="17">
        <f t="shared" si="28"/>
        <v>0.06666666667</v>
      </c>
      <c r="DR42" s="16">
        <v>43.0</v>
      </c>
      <c r="DS42" s="16">
        <v>121.0</v>
      </c>
      <c r="DT42" s="17">
        <f t="shared" si="29"/>
        <v>0.3553719008</v>
      </c>
      <c r="DU42" s="16">
        <v>271.0</v>
      </c>
      <c r="DV42" s="16">
        <v>522.0</v>
      </c>
      <c r="DW42" s="17">
        <f t="shared" si="57"/>
        <v>0.5191570881</v>
      </c>
      <c r="DX42" s="16">
        <v>2.0</v>
      </c>
      <c r="DY42" s="16">
        <v>11.0</v>
      </c>
      <c r="DZ42" s="17">
        <f t="shared" si="30"/>
        <v>0.1818181818</v>
      </c>
      <c r="EA42" s="22">
        <v>170.0</v>
      </c>
      <c r="EB42" s="16">
        <v>579.0</v>
      </c>
      <c r="EC42" s="17">
        <f t="shared" si="31"/>
        <v>0.2936096718</v>
      </c>
      <c r="ED42" s="16">
        <v>8.0</v>
      </c>
      <c r="EE42" s="16">
        <v>30.0</v>
      </c>
      <c r="EF42" s="17">
        <f t="shared" si="32"/>
        <v>0.2666666667</v>
      </c>
      <c r="EG42" s="16">
        <v>4.0</v>
      </c>
      <c r="EH42" s="16">
        <v>65.0</v>
      </c>
      <c r="EI42" s="17">
        <f t="shared" si="33"/>
        <v>0.06153846154</v>
      </c>
      <c r="EJ42" s="16">
        <v>134.0</v>
      </c>
      <c r="EK42" s="16">
        <v>622.0</v>
      </c>
      <c r="EL42" s="17">
        <f t="shared" si="34"/>
        <v>0.2154340836</v>
      </c>
      <c r="EM42" s="16">
        <v>5.0</v>
      </c>
      <c r="EN42" s="16">
        <v>15.0</v>
      </c>
      <c r="EO42" s="17">
        <f t="shared" si="35"/>
        <v>0.3333333333</v>
      </c>
      <c r="EP42" s="16">
        <v>40.0</v>
      </c>
      <c r="EQ42" s="16">
        <v>190.0</v>
      </c>
      <c r="ER42" s="17">
        <f t="shared" si="60"/>
        <v>0.2105263158</v>
      </c>
      <c r="ES42" s="16">
        <v>13.0</v>
      </c>
      <c r="ET42" s="16">
        <v>119.0</v>
      </c>
      <c r="EU42" s="17">
        <f t="shared" si="36"/>
        <v>0.1092436975</v>
      </c>
      <c r="EV42" s="16">
        <v>17.0</v>
      </c>
      <c r="EW42" s="16">
        <v>72.0</v>
      </c>
      <c r="EX42" s="17">
        <f t="shared" si="64"/>
        <v>0.2361111111</v>
      </c>
      <c r="EY42" s="8">
        <v>206.0</v>
      </c>
      <c r="EZ42" s="8">
        <v>411.0</v>
      </c>
      <c r="FA42" s="17">
        <f t="shared" si="37"/>
        <v>0.501216545</v>
      </c>
      <c r="FB42" s="16">
        <v>489.0</v>
      </c>
      <c r="FC42" s="16">
        <v>1994.0</v>
      </c>
      <c r="FD42" s="17">
        <f t="shared" si="38"/>
        <v>0.2730318258</v>
      </c>
      <c r="FE42" s="8">
        <v>29.0</v>
      </c>
      <c r="FF42" s="16">
        <v>90.0</v>
      </c>
      <c r="FG42" s="17">
        <f t="shared" si="39"/>
        <v>0.3222222222</v>
      </c>
      <c r="FH42" s="16">
        <v>20.0</v>
      </c>
      <c r="FI42" s="16">
        <v>99.0</v>
      </c>
      <c r="FJ42" s="17">
        <f t="shared" si="40"/>
        <v>0.202020202</v>
      </c>
      <c r="FK42" s="16">
        <v>2.0</v>
      </c>
      <c r="FL42" s="16">
        <v>60.0</v>
      </c>
      <c r="FM42" s="17">
        <f t="shared" si="41"/>
        <v>0.03333333333</v>
      </c>
      <c r="FN42" s="16">
        <v>151.0</v>
      </c>
      <c r="FO42" s="16">
        <v>226.0</v>
      </c>
      <c r="FP42" s="17">
        <f t="shared" si="42"/>
        <v>0.6681415929</v>
      </c>
      <c r="FQ42" s="16">
        <v>68.0</v>
      </c>
      <c r="FR42" s="16">
        <v>121.0</v>
      </c>
      <c r="FS42" s="17">
        <f t="shared" si="43"/>
        <v>0.5619834711</v>
      </c>
      <c r="FT42" s="16">
        <v>51.0</v>
      </c>
      <c r="FU42" s="16"/>
      <c r="FV42" s="16"/>
      <c r="FW42" s="16">
        <v>4.0</v>
      </c>
      <c r="FX42" s="16">
        <v>30.0</v>
      </c>
      <c r="FY42" s="17">
        <f t="shared" si="44"/>
        <v>0.1333333333</v>
      </c>
      <c r="FZ42" s="16">
        <v>11.0</v>
      </c>
      <c r="GA42" s="16"/>
      <c r="GB42" s="16"/>
      <c r="GC42" s="16">
        <v>4.0</v>
      </c>
      <c r="GD42" s="16">
        <v>129.0</v>
      </c>
      <c r="GE42" s="17">
        <f t="shared" si="45"/>
        <v>0.03100775194</v>
      </c>
      <c r="GF42" s="16">
        <v>8.0</v>
      </c>
      <c r="GG42" s="16">
        <v>101.0</v>
      </c>
      <c r="GH42" s="17">
        <f t="shared" si="46"/>
        <v>0.07920792079</v>
      </c>
      <c r="GI42" s="16">
        <v>651.0</v>
      </c>
      <c r="GJ42" s="16">
        <v>1017.0</v>
      </c>
      <c r="GK42" s="17">
        <f t="shared" si="47"/>
        <v>0.6401179941</v>
      </c>
      <c r="GL42" s="16">
        <v>46.0</v>
      </c>
      <c r="GM42" s="16">
        <v>152.0</v>
      </c>
      <c r="GN42" s="17">
        <f t="shared" si="63"/>
        <v>0.3026315789</v>
      </c>
      <c r="GO42" s="16">
        <v>7.0</v>
      </c>
      <c r="GP42" s="16">
        <v>21.0</v>
      </c>
      <c r="GQ42" s="17">
        <f t="shared" si="49"/>
        <v>0.3333333333</v>
      </c>
      <c r="GR42" s="16">
        <v>14.0</v>
      </c>
      <c r="GS42" s="16">
        <v>53.0</v>
      </c>
      <c r="GT42" s="17">
        <f t="shared" si="50"/>
        <v>0.2641509434</v>
      </c>
      <c r="GU42" s="8">
        <v>3.0</v>
      </c>
      <c r="GV42" s="16">
        <v>17.0</v>
      </c>
      <c r="GW42" s="17">
        <f t="shared" si="51"/>
        <v>0.1764705882</v>
      </c>
      <c r="GX42" s="16">
        <v>187.0</v>
      </c>
      <c r="GY42" s="16"/>
      <c r="GZ42" s="16"/>
      <c r="HA42" s="16">
        <v>289.0</v>
      </c>
      <c r="HB42" s="16">
        <v>650.0</v>
      </c>
      <c r="HC42" s="17">
        <f t="shared" si="52"/>
        <v>0.4446153846</v>
      </c>
      <c r="HD42" s="16"/>
      <c r="HE42" s="16"/>
      <c r="HF42" s="16"/>
    </row>
    <row r="43" ht="15.75" customHeight="1">
      <c r="A43" s="1">
        <f t="shared" si="58"/>
        <v>45017</v>
      </c>
      <c r="B43" s="8">
        <v>194.0</v>
      </c>
      <c r="C43" s="8">
        <v>838.0</v>
      </c>
      <c r="D43" s="9">
        <f t="shared" si="1"/>
        <v>0.23150358</v>
      </c>
      <c r="E43" s="8">
        <v>14.0</v>
      </c>
      <c r="F43" s="8">
        <v>157.0</v>
      </c>
      <c r="G43" s="9">
        <f t="shared" si="2"/>
        <v>0.08917197452</v>
      </c>
      <c r="H43" s="8">
        <v>166.0</v>
      </c>
      <c r="I43" s="8">
        <v>675.0</v>
      </c>
      <c r="J43" s="9">
        <f t="shared" si="3"/>
        <v>0.2459259259</v>
      </c>
      <c r="K43" s="8">
        <v>212.0</v>
      </c>
      <c r="L43" s="8">
        <v>384.0</v>
      </c>
      <c r="M43" s="9">
        <f t="shared" si="61"/>
        <v>0.5520833333</v>
      </c>
      <c r="N43" s="8">
        <v>810.0</v>
      </c>
      <c r="O43" s="8">
        <v>2289.0</v>
      </c>
      <c r="P43" s="9">
        <f t="shared" si="4"/>
        <v>0.3538663172</v>
      </c>
      <c r="Q43" s="8">
        <v>9.0</v>
      </c>
      <c r="T43" s="8">
        <v>267.0</v>
      </c>
      <c r="U43" s="8">
        <v>552.0</v>
      </c>
      <c r="V43" s="9">
        <f t="shared" si="53"/>
        <v>0.4836956522</v>
      </c>
      <c r="W43" s="8">
        <v>92.0</v>
      </c>
      <c r="X43" s="8">
        <v>508.0</v>
      </c>
      <c r="Y43" s="9">
        <f t="shared" si="5"/>
        <v>0.1811023622</v>
      </c>
      <c r="Z43" s="8">
        <v>57.0</v>
      </c>
      <c r="AA43" s="8">
        <v>291.0</v>
      </c>
      <c r="AB43" s="9">
        <f t="shared" si="54"/>
        <v>0.1958762887</v>
      </c>
      <c r="AC43" s="8">
        <v>303.0</v>
      </c>
      <c r="AD43" s="8">
        <v>1561.0</v>
      </c>
      <c r="AE43" s="9">
        <f t="shared" si="55"/>
        <v>0.1941063421</v>
      </c>
      <c r="AF43" s="8">
        <v>67.0</v>
      </c>
      <c r="AG43" s="8">
        <v>384.0</v>
      </c>
      <c r="AH43" s="9">
        <f t="shared" si="6"/>
        <v>0.1744791667</v>
      </c>
      <c r="AI43" s="10">
        <v>43.0</v>
      </c>
      <c r="AJ43" s="8">
        <v>300.0</v>
      </c>
      <c r="AK43" s="9">
        <f t="shared" si="7"/>
        <v>0.1433333333</v>
      </c>
      <c r="AL43" s="16">
        <v>130.0</v>
      </c>
      <c r="AM43" s="16">
        <v>381.0</v>
      </c>
      <c r="AN43" s="17">
        <f t="shared" si="8"/>
        <v>0.3412073491</v>
      </c>
      <c r="AO43" s="18">
        <v>9.0</v>
      </c>
      <c r="AP43" s="18">
        <v>90.0</v>
      </c>
      <c r="AQ43" s="17">
        <f t="shared" si="9"/>
        <v>0.1</v>
      </c>
      <c r="AR43" s="16">
        <v>23.0</v>
      </c>
      <c r="AS43" s="16">
        <v>79.0</v>
      </c>
      <c r="AT43" s="17">
        <f t="shared" si="65"/>
        <v>0.2911392405</v>
      </c>
      <c r="AU43" s="16">
        <v>498.0</v>
      </c>
      <c r="AV43" s="17"/>
      <c r="AW43" s="17"/>
      <c r="AX43" s="16">
        <v>8.0</v>
      </c>
      <c r="AY43" s="16">
        <v>92.0</v>
      </c>
      <c r="AZ43" s="17">
        <f t="shared" si="10"/>
        <v>0.08695652174</v>
      </c>
      <c r="BA43" s="16">
        <v>10.0</v>
      </c>
      <c r="BB43" s="16">
        <v>51.0</v>
      </c>
      <c r="BC43" s="17">
        <f t="shared" si="11"/>
        <v>0.1960784314</v>
      </c>
      <c r="BD43" s="17"/>
      <c r="BE43" s="16">
        <v>24.0</v>
      </c>
      <c r="BF43" s="17"/>
      <c r="BG43" s="17"/>
      <c r="BH43" s="18">
        <v>61.0</v>
      </c>
      <c r="BI43" s="17"/>
      <c r="BJ43" s="18">
        <v>4.0</v>
      </c>
      <c r="BK43" s="18">
        <v>169.0</v>
      </c>
      <c r="BL43" s="17">
        <f t="shared" si="12"/>
        <v>0.02366863905</v>
      </c>
      <c r="BM43" s="19">
        <v>9.0</v>
      </c>
      <c r="BN43" s="19">
        <v>50.0</v>
      </c>
      <c r="BO43" s="17">
        <f t="shared" si="13"/>
        <v>0.18</v>
      </c>
      <c r="BP43" s="16">
        <v>16.0</v>
      </c>
      <c r="BQ43" s="16">
        <v>68.0</v>
      </c>
      <c r="BR43" s="17">
        <f t="shared" si="14"/>
        <v>0.2352941176</v>
      </c>
      <c r="BS43" s="16">
        <v>142.0</v>
      </c>
      <c r="BT43" s="16">
        <v>286.0</v>
      </c>
      <c r="BU43" s="17">
        <f t="shared" si="15"/>
        <v>0.4965034965</v>
      </c>
      <c r="BV43" s="18">
        <v>18.0</v>
      </c>
      <c r="BW43" s="18">
        <v>102.0</v>
      </c>
      <c r="BX43" s="17">
        <f t="shared" si="16"/>
        <v>0.1764705882</v>
      </c>
      <c r="BY43" s="16">
        <v>4.0</v>
      </c>
      <c r="BZ43" s="16">
        <v>88.0</v>
      </c>
      <c r="CA43" s="13">
        <f t="shared" si="59"/>
        <v>0.04545454545</v>
      </c>
      <c r="CB43" s="18">
        <v>0.0</v>
      </c>
      <c r="CC43" s="16">
        <v>38.0</v>
      </c>
      <c r="CD43" s="17">
        <f t="shared" si="17"/>
        <v>0</v>
      </c>
      <c r="CE43" s="16">
        <v>135.0</v>
      </c>
      <c r="CF43" s="8">
        <v>447.0</v>
      </c>
      <c r="CG43" s="17">
        <f t="shared" si="18"/>
        <v>0.3020134228</v>
      </c>
      <c r="CH43" s="16">
        <v>2.0</v>
      </c>
      <c r="CI43" s="16">
        <v>12.0</v>
      </c>
      <c r="CJ43" s="17">
        <f t="shared" si="19"/>
        <v>0.1666666667</v>
      </c>
      <c r="CK43" s="16">
        <v>3.0</v>
      </c>
      <c r="CL43" s="16">
        <v>81.0</v>
      </c>
      <c r="CM43" s="17">
        <f t="shared" si="20"/>
        <v>0.03703703704</v>
      </c>
      <c r="CN43" s="16">
        <v>12.0</v>
      </c>
      <c r="CO43" s="16">
        <v>91.0</v>
      </c>
      <c r="CP43" s="17">
        <f t="shared" si="21"/>
        <v>0.1318681319</v>
      </c>
      <c r="CQ43" s="16">
        <v>59.0</v>
      </c>
      <c r="CR43" s="16">
        <v>446.0</v>
      </c>
      <c r="CS43" s="17">
        <f t="shared" si="22"/>
        <v>0.1322869955</v>
      </c>
      <c r="CT43" s="16">
        <v>62.0</v>
      </c>
      <c r="CU43" s="16">
        <v>167.0</v>
      </c>
      <c r="CV43" s="17">
        <f t="shared" si="23"/>
        <v>0.371257485</v>
      </c>
      <c r="CW43" s="16">
        <v>0.0</v>
      </c>
      <c r="CX43" s="16">
        <v>38.0</v>
      </c>
      <c r="CY43" s="17">
        <f t="shared" si="24"/>
        <v>0</v>
      </c>
      <c r="CZ43" s="16">
        <v>168.0</v>
      </c>
      <c r="DA43" s="16">
        <v>275.0</v>
      </c>
      <c r="DB43" s="17">
        <f t="shared" si="56"/>
        <v>0.6109090909</v>
      </c>
      <c r="DC43" s="16">
        <v>28.0</v>
      </c>
      <c r="DD43" s="16">
        <v>93.0</v>
      </c>
      <c r="DE43" s="17">
        <f t="shared" si="25"/>
        <v>0.3010752688</v>
      </c>
      <c r="DF43" s="16">
        <v>51.0</v>
      </c>
      <c r="DG43" s="16">
        <v>116.0</v>
      </c>
      <c r="DH43" s="17">
        <f t="shared" si="62"/>
        <v>0.4396551724</v>
      </c>
      <c r="DI43" s="16">
        <v>21.0</v>
      </c>
      <c r="DJ43" s="16">
        <v>164.0</v>
      </c>
      <c r="DK43" s="17">
        <f t="shared" si="26"/>
        <v>0.1280487805</v>
      </c>
      <c r="DL43" s="16">
        <v>12.0</v>
      </c>
      <c r="DM43" s="16">
        <v>31.0</v>
      </c>
      <c r="DN43" s="17">
        <f t="shared" si="27"/>
        <v>0.3870967742</v>
      </c>
      <c r="DO43" s="16">
        <v>2.0</v>
      </c>
      <c r="DP43" s="16">
        <v>42.0</v>
      </c>
      <c r="DQ43" s="17">
        <f t="shared" si="28"/>
        <v>0.04761904762</v>
      </c>
      <c r="DR43" s="16">
        <v>69.0</v>
      </c>
      <c r="DS43" s="16">
        <v>164.0</v>
      </c>
      <c r="DT43" s="17">
        <f t="shared" si="29"/>
        <v>0.4207317073</v>
      </c>
      <c r="DU43" s="16">
        <v>288.0</v>
      </c>
      <c r="DV43" s="16">
        <v>526.0</v>
      </c>
      <c r="DW43" s="17">
        <f t="shared" si="57"/>
        <v>0.5475285171</v>
      </c>
      <c r="DX43" s="16">
        <v>0.0</v>
      </c>
      <c r="DY43" s="16">
        <v>15.0</v>
      </c>
      <c r="DZ43" s="17">
        <f t="shared" si="30"/>
        <v>0</v>
      </c>
      <c r="EA43" s="22">
        <v>177.0</v>
      </c>
      <c r="EB43" s="16">
        <v>532.0</v>
      </c>
      <c r="EC43" s="17">
        <f t="shared" si="31"/>
        <v>0.3327067669</v>
      </c>
      <c r="ED43" s="16">
        <v>1.0</v>
      </c>
      <c r="EE43" s="16">
        <v>23.0</v>
      </c>
      <c r="EF43" s="17">
        <f t="shared" si="32"/>
        <v>0.04347826087</v>
      </c>
      <c r="EG43" s="16">
        <v>13.0</v>
      </c>
      <c r="EH43" s="16">
        <v>68.0</v>
      </c>
      <c r="EI43" s="17">
        <f t="shared" si="33"/>
        <v>0.1911764706</v>
      </c>
      <c r="EJ43" s="16">
        <v>103.0</v>
      </c>
      <c r="EK43" s="16">
        <v>607.0</v>
      </c>
      <c r="EL43" s="17">
        <f t="shared" si="34"/>
        <v>0.1696869852</v>
      </c>
      <c r="EM43" s="16">
        <v>3.0</v>
      </c>
      <c r="EN43" s="16">
        <v>19.0</v>
      </c>
      <c r="EO43" s="17">
        <f t="shared" si="35"/>
        <v>0.1578947368</v>
      </c>
      <c r="EP43" s="16">
        <v>29.0</v>
      </c>
      <c r="EQ43" s="16">
        <v>128.0</v>
      </c>
      <c r="ER43" s="17">
        <f t="shared" si="60"/>
        <v>0.2265625</v>
      </c>
      <c r="ES43" s="16">
        <v>16.0</v>
      </c>
      <c r="ET43" s="16">
        <v>145.0</v>
      </c>
      <c r="EU43" s="17">
        <f t="shared" si="36"/>
        <v>0.1103448276</v>
      </c>
      <c r="EV43" s="16">
        <v>25.0</v>
      </c>
      <c r="EW43" s="16">
        <v>80.0</v>
      </c>
      <c r="EX43" s="17">
        <f t="shared" si="64"/>
        <v>0.3125</v>
      </c>
      <c r="EY43" s="8">
        <v>260.0</v>
      </c>
      <c r="EZ43" s="8">
        <v>460.0</v>
      </c>
      <c r="FA43" s="17">
        <f t="shared" si="37"/>
        <v>0.5652173913</v>
      </c>
      <c r="FB43" s="16">
        <v>474.0</v>
      </c>
      <c r="FC43" s="16">
        <v>1791.0</v>
      </c>
      <c r="FD43" s="17">
        <f t="shared" si="38"/>
        <v>0.2507936508</v>
      </c>
      <c r="FE43" s="8">
        <v>16.0</v>
      </c>
      <c r="FF43" s="16">
        <v>75.0</v>
      </c>
      <c r="FG43" s="17">
        <f t="shared" si="39"/>
        <v>0.2133333333</v>
      </c>
      <c r="FH43" s="16">
        <v>31.0</v>
      </c>
      <c r="FI43" s="16">
        <v>99.0</v>
      </c>
      <c r="FJ43" s="17">
        <f t="shared" si="40"/>
        <v>0.3131313131</v>
      </c>
      <c r="FK43" s="16">
        <v>2.0</v>
      </c>
      <c r="FL43" s="16">
        <v>59.0</v>
      </c>
      <c r="FM43" s="17">
        <f t="shared" si="41"/>
        <v>0.03389830508</v>
      </c>
      <c r="FN43" s="16">
        <v>258.0</v>
      </c>
      <c r="FO43" s="16">
        <v>344.0</v>
      </c>
      <c r="FP43" s="17">
        <f t="shared" si="42"/>
        <v>0.75</v>
      </c>
      <c r="FQ43" s="16">
        <v>76.0</v>
      </c>
      <c r="FR43" s="16">
        <v>142.0</v>
      </c>
      <c r="FS43" s="17">
        <f t="shared" si="43"/>
        <v>0.5352112676</v>
      </c>
      <c r="FT43" s="16">
        <v>43.0</v>
      </c>
      <c r="FU43" s="16"/>
      <c r="FV43" s="16"/>
      <c r="FW43" s="16">
        <v>7.0</v>
      </c>
      <c r="FX43" s="16">
        <v>31.0</v>
      </c>
      <c r="FY43" s="17">
        <f t="shared" si="44"/>
        <v>0.2258064516</v>
      </c>
      <c r="FZ43" s="16">
        <v>12.0</v>
      </c>
      <c r="GA43" s="16"/>
      <c r="GB43" s="16"/>
      <c r="GC43" s="16">
        <v>3.0</v>
      </c>
      <c r="GD43" s="16">
        <v>96.0</v>
      </c>
      <c r="GE43" s="17">
        <f t="shared" si="45"/>
        <v>0.03125</v>
      </c>
      <c r="GF43" s="16">
        <v>16.0</v>
      </c>
      <c r="GG43" s="16">
        <v>96.0</v>
      </c>
      <c r="GH43" s="17">
        <f t="shared" si="46"/>
        <v>0.1666666667</v>
      </c>
      <c r="GI43" s="16">
        <v>586.0</v>
      </c>
      <c r="GJ43" s="16">
        <v>907.0</v>
      </c>
      <c r="GK43" s="17">
        <f t="shared" si="47"/>
        <v>0.6460859978</v>
      </c>
      <c r="GL43" s="16">
        <v>41.0</v>
      </c>
      <c r="GM43" s="16">
        <v>147.0</v>
      </c>
      <c r="GN43" s="17">
        <f t="shared" si="63"/>
        <v>0.2789115646</v>
      </c>
      <c r="GO43" s="16">
        <v>7.0</v>
      </c>
      <c r="GP43" s="16">
        <v>20.0</v>
      </c>
      <c r="GQ43" s="17">
        <f t="shared" si="49"/>
        <v>0.35</v>
      </c>
      <c r="GR43" s="16">
        <v>21.0</v>
      </c>
      <c r="GS43" s="16">
        <v>64.0</v>
      </c>
      <c r="GT43" s="17">
        <f t="shared" si="50"/>
        <v>0.328125</v>
      </c>
      <c r="GU43" s="8">
        <v>5.0</v>
      </c>
      <c r="GV43" s="16">
        <v>12.0</v>
      </c>
      <c r="GW43" s="17">
        <f t="shared" si="51"/>
        <v>0.4166666667</v>
      </c>
      <c r="GX43" s="16">
        <v>233.0</v>
      </c>
      <c r="GY43" s="16"/>
      <c r="GZ43" s="16"/>
      <c r="HA43" s="16">
        <v>309.0</v>
      </c>
      <c r="HB43" s="16">
        <v>683.0</v>
      </c>
      <c r="HC43" s="17">
        <f t="shared" si="52"/>
        <v>0.4524158126</v>
      </c>
      <c r="HD43" s="16"/>
      <c r="HE43" s="16"/>
      <c r="HF43" s="16"/>
    </row>
    <row r="44" ht="15.75" customHeight="1">
      <c r="A44" s="1">
        <f t="shared" si="58"/>
        <v>45047</v>
      </c>
      <c r="B44" s="8">
        <v>285.0</v>
      </c>
      <c r="C44" s="8">
        <v>964.0</v>
      </c>
      <c r="D44" s="9">
        <f t="shared" si="1"/>
        <v>0.2956431535</v>
      </c>
      <c r="E44" s="8">
        <v>17.0</v>
      </c>
      <c r="F44" s="8">
        <v>183.0</v>
      </c>
      <c r="G44" s="9">
        <f t="shared" si="2"/>
        <v>0.09289617486</v>
      </c>
      <c r="H44" s="8">
        <v>148.0</v>
      </c>
      <c r="I44" s="8">
        <v>647.0</v>
      </c>
      <c r="J44" s="9">
        <f t="shared" si="3"/>
        <v>0.228748068</v>
      </c>
      <c r="K44" s="8">
        <v>308.0</v>
      </c>
      <c r="L44" s="8">
        <v>482.0</v>
      </c>
      <c r="M44" s="9">
        <f t="shared" si="61"/>
        <v>0.6390041494</v>
      </c>
      <c r="N44" s="8">
        <v>810.0</v>
      </c>
      <c r="O44" s="8">
        <v>2427.0</v>
      </c>
      <c r="P44" s="9">
        <f t="shared" si="4"/>
        <v>0.3337453646</v>
      </c>
      <c r="Q44" s="8">
        <v>12.0</v>
      </c>
      <c r="T44" s="8">
        <v>236.0</v>
      </c>
      <c r="U44" s="8">
        <v>541.0</v>
      </c>
      <c r="V44" s="9">
        <f t="shared" si="53"/>
        <v>0.4362292052</v>
      </c>
      <c r="W44" s="8">
        <v>129.0</v>
      </c>
      <c r="X44" s="8">
        <v>533.0</v>
      </c>
      <c r="Y44" s="9">
        <f t="shared" si="5"/>
        <v>0.2420262664</v>
      </c>
      <c r="Z44" s="8">
        <v>78.0</v>
      </c>
      <c r="AA44" s="8">
        <v>317.0</v>
      </c>
      <c r="AB44" s="9">
        <f t="shared" si="54"/>
        <v>0.2460567823</v>
      </c>
      <c r="AC44" s="8">
        <v>486.0</v>
      </c>
      <c r="AD44" s="8">
        <v>1902.0</v>
      </c>
      <c r="AE44" s="9">
        <f t="shared" si="55"/>
        <v>0.2555205047</v>
      </c>
      <c r="AF44" s="8">
        <v>70.0</v>
      </c>
      <c r="AG44" s="8">
        <v>471.0</v>
      </c>
      <c r="AH44" s="9">
        <f t="shared" si="6"/>
        <v>0.1486199575</v>
      </c>
      <c r="AI44" s="10">
        <v>39.0</v>
      </c>
      <c r="AJ44" s="8">
        <v>274.0</v>
      </c>
      <c r="AK44" s="9">
        <f t="shared" si="7"/>
        <v>0.1423357664</v>
      </c>
      <c r="AL44" s="16">
        <v>192.0</v>
      </c>
      <c r="AM44" s="16">
        <v>452.0</v>
      </c>
      <c r="AN44" s="17">
        <f t="shared" si="8"/>
        <v>0.4247787611</v>
      </c>
      <c r="AO44" s="18">
        <v>3.0</v>
      </c>
      <c r="AP44" s="18">
        <v>73.0</v>
      </c>
      <c r="AQ44" s="17">
        <f t="shared" si="9"/>
        <v>0.04109589041</v>
      </c>
      <c r="AR44" s="16">
        <v>33.0</v>
      </c>
      <c r="AS44" s="16">
        <v>107.0</v>
      </c>
      <c r="AT44" s="17">
        <f t="shared" si="65"/>
        <v>0.308411215</v>
      </c>
      <c r="AU44" s="16">
        <v>416.0</v>
      </c>
      <c r="AV44" s="17"/>
      <c r="AW44" s="17"/>
      <c r="AX44" s="16">
        <v>27.0</v>
      </c>
      <c r="AY44" s="16">
        <v>80.0</v>
      </c>
      <c r="AZ44" s="17">
        <f t="shared" si="10"/>
        <v>0.3375</v>
      </c>
      <c r="BA44" s="16">
        <v>7.0</v>
      </c>
      <c r="BB44" s="16">
        <v>40.0</v>
      </c>
      <c r="BC44" s="17">
        <f t="shared" si="11"/>
        <v>0.175</v>
      </c>
      <c r="BD44" s="17"/>
      <c r="BE44" s="16">
        <v>19.0</v>
      </c>
      <c r="BF44" s="17"/>
      <c r="BG44" s="17"/>
      <c r="BH44" s="18">
        <v>66.0</v>
      </c>
      <c r="BI44" s="17"/>
      <c r="BJ44" s="18">
        <v>8.0</v>
      </c>
      <c r="BK44" s="18">
        <v>206.0</v>
      </c>
      <c r="BL44" s="17">
        <f t="shared" si="12"/>
        <v>0.03883495146</v>
      </c>
      <c r="BM44" s="19">
        <v>14.0</v>
      </c>
      <c r="BN44" s="19">
        <v>64.0</v>
      </c>
      <c r="BO44" s="17">
        <f t="shared" si="13"/>
        <v>0.21875</v>
      </c>
      <c r="BP44" s="16">
        <v>26.0</v>
      </c>
      <c r="BQ44" s="16">
        <v>70.0</v>
      </c>
      <c r="BR44" s="17">
        <f t="shared" si="14"/>
        <v>0.3714285714</v>
      </c>
      <c r="BS44" s="16">
        <v>242.0</v>
      </c>
      <c r="BT44" s="16">
        <v>493.0</v>
      </c>
      <c r="BU44" s="17">
        <f t="shared" si="15"/>
        <v>0.490872211</v>
      </c>
      <c r="BV44" s="18">
        <v>27.0</v>
      </c>
      <c r="BW44" s="18">
        <v>98.0</v>
      </c>
      <c r="BX44" s="17">
        <f t="shared" si="16"/>
        <v>0.2755102041</v>
      </c>
      <c r="BY44" s="16">
        <v>2.0</v>
      </c>
      <c r="BZ44" s="16">
        <v>62.0</v>
      </c>
      <c r="CA44" s="13">
        <f t="shared" si="59"/>
        <v>0.03225806452</v>
      </c>
      <c r="CB44" s="18">
        <v>1.0</v>
      </c>
      <c r="CC44" s="16">
        <v>38.0</v>
      </c>
      <c r="CD44" s="17">
        <f t="shared" si="17"/>
        <v>0.02631578947</v>
      </c>
      <c r="CE44" s="16">
        <v>132.0</v>
      </c>
      <c r="CF44" s="8">
        <v>479.0</v>
      </c>
      <c r="CG44" s="17">
        <f t="shared" si="18"/>
        <v>0.2755741127</v>
      </c>
      <c r="CH44" s="16">
        <v>6.0</v>
      </c>
      <c r="CI44" s="16">
        <v>19.0</v>
      </c>
      <c r="CJ44" s="17">
        <f t="shared" si="19"/>
        <v>0.3157894737</v>
      </c>
      <c r="CK44" s="16">
        <v>16.0</v>
      </c>
      <c r="CL44" s="16">
        <v>95.0</v>
      </c>
      <c r="CM44" s="17">
        <f t="shared" si="20"/>
        <v>0.1684210526</v>
      </c>
      <c r="CN44" s="16">
        <v>36.0</v>
      </c>
      <c r="CO44" s="16">
        <v>170.0</v>
      </c>
      <c r="CP44" s="17">
        <f t="shared" si="21"/>
        <v>0.2117647059</v>
      </c>
      <c r="CQ44" s="16">
        <v>80.0</v>
      </c>
      <c r="CR44" s="16">
        <v>509.0</v>
      </c>
      <c r="CS44" s="17">
        <f t="shared" si="22"/>
        <v>0.1571709234</v>
      </c>
      <c r="CT44" s="16">
        <v>47.0</v>
      </c>
      <c r="CU44" s="16">
        <v>176.0</v>
      </c>
      <c r="CV44" s="17">
        <f t="shared" si="23"/>
        <v>0.2670454545</v>
      </c>
      <c r="CW44" s="16">
        <v>1.0</v>
      </c>
      <c r="CX44" s="16">
        <v>38.0</v>
      </c>
      <c r="CY44" s="17">
        <f t="shared" si="24"/>
        <v>0.02631578947</v>
      </c>
      <c r="CZ44" s="16">
        <v>290.0</v>
      </c>
      <c r="DA44" s="16">
        <v>472.0</v>
      </c>
      <c r="DB44" s="17">
        <f t="shared" si="56"/>
        <v>0.6144067797</v>
      </c>
      <c r="DC44" s="16">
        <v>44.0</v>
      </c>
      <c r="DD44" s="16">
        <v>118.0</v>
      </c>
      <c r="DE44" s="17">
        <f t="shared" si="25"/>
        <v>0.3728813559</v>
      </c>
      <c r="DF44" s="16">
        <v>85.0</v>
      </c>
      <c r="DG44" s="16">
        <v>167.0</v>
      </c>
      <c r="DH44" s="17">
        <f t="shared" si="62"/>
        <v>0.5089820359</v>
      </c>
      <c r="DI44" s="16">
        <v>35.0</v>
      </c>
      <c r="DJ44" s="16">
        <v>188.0</v>
      </c>
      <c r="DK44" s="17">
        <f t="shared" si="26"/>
        <v>0.1861702128</v>
      </c>
      <c r="DL44" s="16">
        <v>3.0</v>
      </c>
      <c r="DM44" s="16">
        <v>36.0</v>
      </c>
      <c r="DN44" s="17">
        <f t="shared" si="27"/>
        <v>0.08333333333</v>
      </c>
      <c r="DO44" s="16">
        <v>1.0</v>
      </c>
      <c r="DP44" s="16">
        <v>35.0</v>
      </c>
      <c r="DQ44" s="17">
        <f t="shared" si="28"/>
        <v>0.02857142857</v>
      </c>
      <c r="DR44" s="16">
        <v>117.0</v>
      </c>
      <c r="DS44" s="16">
        <v>194.0</v>
      </c>
      <c r="DT44" s="17">
        <f t="shared" si="29"/>
        <v>0.6030927835</v>
      </c>
      <c r="DU44" s="16">
        <v>380.0</v>
      </c>
      <c r="DV44" s="16">
        <v>671.0</v>
      </c>
      <c r="DW44" s="17">
        <f t="shared" si="57"/>
        <v>0.566318927</v>
      </c>
      <c r="DX44" s="16">
        <v>0.0</v>
      </c>
      <c r="DY44" s="16">
        <v>17.0</v>
      </c>
      <c r="DZ44" s="17">
        <f t="shared" si="30"/>
        <v>0</v>
      </c>
      <c r="EA44" s="22">
        <v>255.0</v>
      </c>
      <c r="EB44" s="16">
        <v>617.0</v>
      </c>
      <c r="EC44" s="17">
        <f t="shared" si="31"/>
        <v>0.4132901135</v>
      </c>
      <c r="ED44" s="16">
        <v>3.0</v>
      </c>
      <c r="EE44" s="16">
        <v>15.0</v>
      </c>
      <c r="EF44" s="17">
        <f t="shared" si="32"/>
        <v>0.2</v>
      </c>
      <c r="EG44" s="16">
        <v>2.0</v>
      </c>
      <c r="EH44" s="16">
        <v>59.0</v>
      </c>
      <c r="EI44" s="17">
        <f t="shared" si="33"/>
        <v>0.03389830508</v>
      </c>
      <c r="EJ44" s="16">
        <v>93.0</v>
      </c>
      <c r="EK44" s="16">
        <v>589.0</v>
      </c>
      <c r="EL44" s="17">
        <f t="shared" si="34"/>
        <v>0.1578947368</v>
      </c>
      <c r="EM44" s="16">
        <v>19.0</v>
      </c>
      <c r="EN44" s="16">
        <v>32.0</v>
      </c>
      <c r="EO44" s="17">
        <f t="shared" si="35"/>
        <v>0.59375</v>
      </c>
      <c r="EP44" s="16">
        <v>52.0</v>
      </c>
      <c r="EQ44" s="16">
        <v>164.0</v>
      </c>
      <c r="ER44" s="17">
        <f t="shared" si="60"/>
        <v>0.3170731707</v>
      </c>
      <c r="ES44" s="16">
        <v>23.0</v>
      </c>
      <c r="ET44" s="16">
        <v>160.0</v>
      </c>
      <c r="EU44" s="17">
        <f t="shared" si="36"/>
        <v>0.14375</v>
      </c>
      <c r="EV44" s="16">
        <v>23.0</v>
      </c>
      <c r="EW44" s="16">
        <v>97.0</v>
      </c>
      <c r="EX44" s="17">
        <f t="shared" si="64"/>
        <v>0.2371134021</v>
      </c>
      <c r="EY44" s="8">
        <v>277.0</v>
      </c>
      <c r="EZ44" s="8">
        <v>531.0</v>
      </c>
      <c r="FA44" s="17">
        <f t="shared" si="37"/>
        <v>0.5216572505</v>
      </c>
      <c r="FB44" s="16">
        <v>496.0</v>
      </c>
      <c r="FC44" s="16">
        <v>1890.0</v>
      </c>
      <c r="FD44" s="17">
        <f t="shared" si="38"/>
        <v>0.2624338624</v>
      </c>
      <c r="FE44" s="8">
        <v>42.0</v>
      </c>
      <c r="FF44" s="16">
        <v>103.0</v>
      </c>
      <c r="FG44" s="17">
        <f t="shared" si="39"/>
        <v>0.4077669903</v>
      </c>
      <c r="FH44" s="16">
        <v>20.0</v>
      </c>
      <c r="FI44" s="16">
        <v>88.0</v>
      </c>
      <c r="FJ44" s="17">
        <f t="shared" si="40"/>
        <v>0.2272727273</v>
      </c>
      <c r="FK44" s="16">
        <v>3.0</v>
      </c>
      <c r="FL44" s="16">
        <v>53.0</v>
      </c>
      <c r="FM44" s="17">
        <f t="shared" si="41"/>
        <v>0.05660377358</v>
      </c>
      <c r="FN44" s="16">
        <v>270.0</v>
      </c>
      <c r="FO44" s="16">
        <v>346.0</v>
      </c>
      <c r="FP44" s="17">
        <f t="shared" si="42"/>
        <v>0.7803468208</v>
      </c>
      <c r="FQ44" s="16">
        <v>130.0</v>
      </c>
      <c r="FR44" s="16">
        <v>202.0</v>
      </c>
      <c r="FS44" s="17">
        <f t="shared" si="43"/>
        <v>0.6435643564</v>
      </c>
      <c r="FT44" s="16">
        <v>61.0</v>
      </c>
      <c r="FU44" s="16"/>
      <c r="FV44" s="16"/>
      <c r="FW44" s="16">
        <v>6.0</v>
      </c>
      <c r="FX44" s="16">
        <v>34.0</v>
      </c>
      <c r="FY44" s="17">
        <f t="shared" si="44"/>
        <v>0.1764705882</v>
      </c>
      <c r="FZ44" s="16">
        <v>6.0</v>
      </c>
      <c r="GA44" s="16"/>
      <c r="GB44" s="16"/>
      <c r="GC44" s="16">
        <v>10.0</v>
      </c>
      <c r="GD44" s="16">
        <v>155.0</v>
      </c>
      <c r="GE44" s="17">
        <f t="shared" si="45"/>
        <v>0.06451612903</v>
      </c>
      <c r="GF44" s="16">
        <v>5.0</v>
      </c>
      <c r="GG44" s="16">
        <v>93.0</v>
      </c>
      <c r="GH44" s="17">
        <f t="shared" si="46"/>
        <v>0.05376344086</v>
      </c>
      <c r="GI44" s="16">
        <v>451.0</v>
      </c>
      <c r="GJ44" s="16">
        <v>804.0</v>
      </c>
      <c r="GK44" s="17">
        <f t="shared" si="47"/>
        <v>0.5609452736</v>
      </c>
      <c r="GL44" s="16">
        <v>39.0</v>
      </c>
      <c r="GM44" s="16">
        <v>161.0</v>
      </c>
      <c r="GN44" s="17">
        <f t="shared" si="63"/>
        <v>0.2422360248</v>
      </c>
      <c r="GO44" s="16">
        <v>7.0</v>
      </c>
      <c r="GP44" s="16">
        <v>17.0</v>
      </c>
      <c r="GQ44" s="17">
        <f t="shared" si="49"/>
        <v>0.4117647059</v>
      </c>
      <c r="GR44" s="16">
        <v>33.0</v>
      </c>
      <c r="GS44" s="16">
        <v>69.0</v>
      </c>
      <c r="GT44" s="17">
        <f t="shared" si="50"/>
        <v>0.4782608696</v>
      </c>
      <c r="GU44" s="8">
        <v>9.0</v>
      </c>
      <c r="GV44" s="16">
        <v>23.0</v>
      </c>
      <c r="GW44" s="17">
        <f t="shared" si="51"/>
        <v>0.3913043478</v>
      </c>
      <c r="GX44" s="16">
        <v>272.0</v>
      </c>
      <c r="GY44" s="16"/>
      <c r="GZ44" s="16"/>
      <c r="HA44" s="16">
        <v>277.0</v>
      </c>
      <c r="HB44" s="16">
        <v>644.0</v>
      </c>
      <c r="HC44" s="17">
        <f t="shared" si="52"/>
        <v>0.4301242236</v>
      </c>
      <c r="HD44" s="16"/>
      <c r="HE44" s="16"/>
      <c r="HF44" s="16"/>
    </row>
    <row r="45" ht="15.75" customHeight="1">
      <c r="A45" s="1">
        <f t="shared" si="58"/>
        <v>45078</v>
      </c>
      <c r="B45" s="8">
        <v>308.0</v>
      </c>
      <c r="C45" s="23">
        <v>1116.0</v>
      </c>
      <c r="D45" s="9">
        <f t="shared" si="1"/>
        <v>0.2759856631</v>
      </c>
      <c r="E45" s="8">
        <v>44.0</v>
      </c>
      <c r="F45" s="8">
        <v>192.0</v>
      </c>
      <c r="G45" s="9">
        <f t="shared" si="2"/>
        <v>0.2291666667</v>
      </c>
      <c r="H45" s="8">
        <v>171.0</v>
      </c>
      <c r="I45" s="8">
        <v>607.0</v>
      </c>
      <c r="J45" s="9">
        <f t="shared" si="3"/>
        <v>0.2817133443</v>
      </c>
      <c r="K45" s="8">
        <v>293.0</v>
      </c>
      <c r="L45" s="8">
        <v>502.0</v>
      </c>
      <c r="M45" s="9">
        <f t="shared" si="61"/>
        <v>0.5836653386</v>
      </c>
      <c r="N45" s="8">
        <v>816.0</v>
      </c>
      <c r="O45" s="8">
        <v>2552.0</v>
      </c>
      <c r="P45" s="9">
        <f t="shared" si="4"/>
        <v>0.3197492163</v>
      </c>
      <c r="Q45" s="8">
        <v>14.0</v>
      </c>
      <c r="T45" s="8">
        <v>241.0</v>
      </c>
      <c r="U45" s="8">
        <v>517.0</v>
      </c>
      <c r="V45" s="9">
        <f t="shared" si="53"/>
        <v>0.4661508704</v>
      </c>
      <c r="W45" s="8">
        <v>110.0</v>
      </c>
      <c r="X45" s="8">
        <v>537.0</v>
      </c>
      <c r="Y45" s="9">
        <f t="shared" si="5"/>
        <v>0.2048417132</v>
      </c>
      <c r="Z45" s="8">
        <v>68.0</v>
      </c>
      <c r="AA45" s="8">
        <v>327.0</v>
      </c>
      <c r="AB45" s="9">
        <f t="shared" si="54"/>
        <v>0.2079510703</v>
      </c>
      <c r="AC45" s="8">
        <v>289.0</v>
      </c>
      <c r="AD45" s="8">
        <v>1605.0</v>
      </c>
      <c r="AE45" s="9">
        <f t="shared" si="55"/>
        <v>0.1800623053</v>
      </c>
      <c r="AF45" s="8">
        <v>83.0</v>
      </c>
      <c r="AG45" s="8">
        <v>468.0</v>
      </c>
      <c r="AH45" s="9">
        <f t="shared" si="6"/>
        <v>0.1773504274</v>
      </c>
      <c r="AI45" s="10">
        <v>68.0</v>
      </c>
      <c r="AJ45" s="8">
        <v>362.0</v>
      </c>
      <c r="AK45" s="9">
        <f t="shared" si="7"/>
        <v>0.1878453039</v>
      </c>
      <c r="AL45" s="16">
        <v>197.0</v>
      </c>
      <c r="AM45" s="16">
        <v>472.0</v>
      </c>
      <c r="AN45" s="17">
        <f t="shared" si="8"/>
        <v>0.4173728814</v>
      </c>
      <c r="AO45" s="18">
        <v>9.0</v>
      </c>
      <c r="AP45" s="18">
        <v>86.0</v>
      </c>
      <c r="AQ45" s="17">
        <f t="shared" si="9"/>
        <v>0.1046511628</v>
      </c>
      <c r="AR45" s="16">
        <v>39.0</v>
      </c>
      <c r="AS45" s="16">
        <v>110.0</v>
      </c>
      <c r="AT45" s="17">
        <f t="shared" si="65"/>
        <v>0.3545454545</v>
      </c>
      <c r="AU45" s="16">
        <v>458.0</v>
      </c>
      <c r="AV45" s="17"/>
      <c r="AW45" s="17"/>
      <c r="AX45" s="16">
        <v>21.0</v>
      </c>
      <c r="AY45" s="16">
        <v>80.0</v>
      </c>
      <c r="AZ45" s="17">
        <f t="shared" si="10"/>
        <v>0.2625</v>
      </c>
      <c r="BA45" s="16">
        <v>4.0</v>
      </c>
      <c r="BB45" s="16">
        <v>62.0</v>
      </c>
      <c r="BC45" s="17">
        <f t="shared" si="11"/>
        <v>0.06451612903</v>
      </c>
      <c r="BD45" s="17"/>
      <c r="BE45" s="16">
        <v>26.0</v>
      </c>
      <c r="BF45" s="17"/>
      <c r="BG45" s="17"/>
      <c r="BH45" s="18">
        <v>82.0</v>
      </c>
      <c r="BI45" s="17"/>
      <c r="BJ45" s="18">
        <v>6.0</v>
      </c>
      <c r="BK45" s="18">
        <v>219.0</v>
      </c>
      <c r="BL45" s="17">
        <f t="shared" si="12"/>
        <v>0.02739726027</v>
      </c>
      <c r="BM45" s="19">
        <v>15.0</v>
      </c>
      <c r="BN45" s="19">
        <v>56.0</v>
      </c>
      <c r="BO45" s="17">
        <f t="shared" si="13"/>
        <v>0.2678571429</v>
      </c>
      <c r="BP45" s="16">
        <v>17.0</v>
      </c>
      <c r="BQ45" s="16">
        <v>95.0</v>
      </c>
      <c r="BR45" s="17">
        <f t="shared" si="14"/>
        <v>0.1789473684</v>
      </c>
      <c r="BS45" s="16">
        <v>304.0</v>
      </c>
      <c r="BT45" s="16">
        <v>629.0</v>
      </c>
      <c r="BU45" s="17">
        <f t="shared" si="15"/>
        <v>0.4833068362</v>
      </c>
      <c r="BV45" s="18">
        <v>24.0</v>
      </c>
      <c r="BW45" s="18">
        <v>106.0</v>
      </c>
      <c r="BX45" s="17">
        <f t="shared" si="16"/>
        <v>0.2264150943</v>
      </c>
      <c r="BY45" s="16">
        <v>3.0</v>
      </c>
      <c r="BZ45" s="16">
        <v>94.0</v>
      </c>
      <c r="CA45" s="13">
        <f t="shared" si="59"/>
        <v>0.03191489362</v>
      </c>
      <c r="CB45" s="18">
        <v>2.0</v>
      </c>
      <c r="CC45" s="16">
        <v>54.0</v>
      </c>
      <c r="CD45" s="17">
        <f t="shared" si="17"/>
        <v>0.03703703704</v>
      </c>
      <c r="CE45" s="16">
        <v>128.0</v>
      </c>
      <c r="CF45" s="8">
        <v>416.0</v>
      </c>
      <c r="CG45" s="17">
        <f t="shared" si="18"/>
        <v>0.3076923077</v>
      </c>
      <c r="CH45" s="16">
        <v>4.0</v>
      </c>
      <c r="CI45" s="16">
        <v>18.0</v>
      </c>
      <c r="CJ45" s="17">
        <f t="shared" si="19"/>
        <v>0.2222222222</v>
      </c>
      <c r="CK45" s="16">
        <v>21.0</v>
      </c>
      <c r="CL45" s="16">
        <v>127.0</v>
      </c>
      <c r="CM45" s="17">
        <f t="shared" si="20"/>
        <v>0.1653543307</v>
      </c>
      <c r="CN45" s="16">
        <v>11.0</v>
      </c>
      <c r="CO45" s="16">
        <v>73.0</v>
      </c>
      <c r="CP45" s="17">
        <f t="shared" si="21"/>
        <v>0.1506849315</v>
      </c>
      <c r="CQ45" s="16">
        <v>92.0</v>
      </c>
      <c r="CR45" s="16">
        <v>515.0</v>
      </c>
      <c r="CS45" s="17">
        <f t="shared" si="22"/>
        <v>0.1786407767</v>
      </c>
      <c r="CT45" s="16">
        <v>41.0</v>
      </c>
      <c r="CU45" s="16">
        <v>179.0</v>
      </c>
      <c r="CV45" s="17">
        <f t="shared" si="23"/>
        <v>0.2290502793</v>
      </c>
      <c r="CW45" s="16">
        <v>2.0</v>
      </c>
      <c r="CX45" s="16">
        <v>54.0</v>
      </c>
      <c r="CY45" s="17">
        <f t="shared" si="24"/>
        <v>0.03703703704</v>
      </c>
      <c r="CZ45" s="16">
        <v>253.0</v>
      </c>
      <c r="DA45" s="16">
        <v>393.0</v>
      </c>
      <c r="DB45" s="17">
        <f t="shared" si="56"/>
        <v>0.6437659033</v>
      </c>
      <c r="DC45" s="16">
        <v>43.0</v>
      </c>
      <c r="DD45" s="16">
        <v>113.0</v>
      </c>
      <c r="DE45" s="17">
        <f t="shared" si="25"/>
        <v>0.3805309735</v>
      </c>
      <c r="DF45" s="16">
        <v>51.0</v>
      </c>
      <c r="DG45" s="16">
        <v>156.0</v>
      </c>
      <c r="DH45" s="17">
        <f t="shared" si="62"/>
        <v>0.3269230769</v>
      </c>
      <c r="DI45" s="16">
        <v>36.0</v>
      </c>
      <c r="DJ45" s="16">
        <v>152.0</v>
      </c>
      <c r="DK45" s="17">
        <f t="shared" si="26"/>
        <v>0.2368421053</v>
      </c>
      <c r="DL45" s="16">
        <v>12.0</v>
      </c>
      <c r="DM45" s="16">
        <v>46.0</v>
      </c>
      <c r="DN45" s="17">
        <f t="shared" si="27"/>
        <v>0.2608695652</v>
      </c>
      <c r="DO45" s="16">
        <v>2.0</v>
      </c>
      <c r="DP45" s="16">
        <v>31.0</v>
      </c>
      <c r="DQ45" s="17">
        <f t="shared" si="28"/>
        <v>0.06451612903</v>
      </c>
      <c r="DR45" s="16">
        <v>72.0</v>
      </c>
      <c r="DS45" s="16">
        <v>178.0</v>
      </c>
      <c r="DT45" s="17">
        <f t="shared" si="29"/>
        <v>0.404494382</v>
      </c>
      <c r="DU45" s="16">
        <v>368.0</v>
      </c>
      <c r="DV45" s="16">
        <v>684.0</v>
      </c>
      <c r="DW45" s="17">
        <f t="shared" si="57"/>
        <v>0.5380116959</v>
      </c>
      <c r="DX45" s="16">
        <v>1.0</v>
      </c>
      <c r="DY45" s="16">
        <v>36.0</v>
      </c>
      <c r="DZ45" s="17">
        <f t="shared" si="30"/>
        <v>0.02777777778</v>
      </c>
      <c r="EA45" s="22">
        <v>267.0</v>
      </c>
      <c r="EB45" s="16">
        <v>653.0</v>
      </c>
      <c r="EC45" s="17">
        <f t="shared" si="31"/>
        <v>0.4088820827</v>
      </c>
      <c r="ED45" s="16">
        <v>9.0</v>
      </c>
      <c r="EE45" s="16">
        <v>28.0</v>
      </c>
      <c r="EF45" s="17">
        <f t="shared" si="32"/>
        <v>0.3214285714</v>
      </c>
      <c r="EG45" s="16">
        <v>1.0</v>
      </c>
      <c r="EH45" s="16">
        <v>56.0</v>
      </c>
      <c r="EI45" s="17">
        <f t="shared" si="33"/>
        <v>0.01785714286</v>
      </c>
      <c r="EJ45" s="16">
        <v>185.0</v>
      </c>
      <c r="EK45" s="16">
        <v>684.0</v>
      </c>
      <c r="EL45" s="17">
        <f t="shared" si="34"/>
        <v>0.2704678363</v>
      </c>
      <c r="EM45" s="16">
        <v>18.0</v>
      </c>
      <c r="EN45" s="16">
        <v>39.0</v>
      </c>
      <c r="EO45" s="17">
        <f t="shared" si="35"/>
        <v>0.4615384615</v>
      </c>
      <c r="EP45" s="16">
        <v>14.0</v>
      </c>
      <c r="EQ45" s="16">
        <v>114.0</v>
      </c>
      <c r="ER45" s="17">
        <f t="shared" si="60"/>
        <v>0.1228070175</v>
      </c>
      <c r="ES45" s="16">
        <v>29.0</v>
      </c>
      <c r="ET45" s="16">
        <v>158.0</v>
      </c>
      <c r="EU45" s="17">
        <f t="shared" si="36"/>
        <v>0.1835443038</v>
      </c>
      <c r="EV45" s="16">
        <v>19.0</v>
      </c>
      <c r="EW45" s="16">
        <v>80.0</v>
      </c>
      <c r="EX45" s="17">
        <f t="shared" si="64"/>
        <v>0.2375</v>
      </c>
      <c r="EY45" s="8">
        <v>299.0</v>
      </c>
      <c r="EZ45" s="8">
        <v>535.0</v>
      </c>
      <c r="FA45" s="17">
        <f t="shared" si="37"/>
        <v>0.5588785047</v>
      </c>
      <c r="FB45" s="16">
        <v>538.0</v>
      </c>
      <c r="FC45" s="16">
        <v>1890.0</v>
      </c>
      <c r="FD45" s="17">
        <f t="shared" si="38"/>
        <v>0.2502325581</v>
      </c>
      <c r="FE45" s="8">
        <v>69.0</v>
      </c>
      <c r="FF45" s="16">
        <v>136.0</v>
      </c>
      <c r="FG45" s="17">
        <f t="shared" si="39"/>
        <v>0.5073529412</v>
      </c>
      <c r="FH45" s="16">
        <v>1.0</v>
      </c>
      <c r="FI45" s="16">
        <v>69.0</v>
      </c>
      <c r="FJ45" s="17">
        <f t="shared" si="40"/>
        <v>0.01449275362</v>
      </c>
      <c r="FK45" s="16">
        <v>6.0</v>
      </c>
      <c r="FL45" s="16">
        <v>55.0</v>
      </c>
      <c r="FM45" s="17">
        <f t="shared" si="41"/>
        <v>0.1090909091</v>
      </c>
      <c r="FN45" s="16">
        <v>299.0</v>
      </c>
      <c r="FO45" s="16">
        <v>377.0</v>
      </c>
      <c r="FP45" s="17">
        <f t="shared" si="42"/>
        <v>0.7931034483</v>
      </c>
      <c r="FQ45" s="16">
        <v>138.0</v>
      </c>
      <c r="FR45" s="16">
        <v>219.0</v>
      </c>
      <c r="FS45" s="17">
        <f t="shared" si="43"/>
        <v>0.6301369863</v>
      </c>
      <c r="FT45" s="16">
        <v>33.0</v>
      </c>
      <c r="FU45" s="16"/>
      <c r="FV45" s="16"/>
      <c r="FW45" s="16">
        <v>9.0</v>
      </c>
      <c r="FX45" s="16">
        <v>48.0</v>
      </c>
      <c r="FY45" s="17">
        <f t="shared" si="44"/>
        <v>0.1875</v>
      </c>
      <c r="FZ45" s="16">
        <v>16.0</v>
      </c>
      <c r="GA45" s="16"/>
      <c r="GB45" s="16"/>
      <c r="GC45" s="16">
        <v>25.0</v>
      </c>
      <c r="GD45" s="16">
        <v>173.0</v>
      </c>
      <c r="GE45" s="17">
        <f t="shared" si="45"/>
        <v>0.1445086705</v>
      </c>
      <c r="GF45" s="16">
        <v>6.0</v>
      </c>
      <c r="GG45" s="16">
        <v>83.0</v>
      </c>
      <c r="GH45" s="17">
        <f t="shared" si="46"/>
        <v>0.07228915663</v>
      </c>
      <c r="GI45" s="16">
        <v>230.0</v>
      </c>
      <c r="GJ45" s="16">
        <v>560.0</v>
      </c>
      <c r="GK45" s="17">
        <f t="shared" si="47"/>
        <v>0.4107142857</v>
      </c>
      <c r="GL45" s="16">
        <v>36.0</v>
      </c>
      <c r="GM45" s="16">
        <v>149.0</v>
      </c>
      <c r="GN45" s="17">
        <f t="shared" si="63"/>
        <v>0.2416107383</v>
      </c>
      <c r="GO45" s="16">
        <v>4.0</v>
      </c>
      <c r="GP45" s="16">
        <v>15.0</v>
      </c>
      <c r="GQ45" s="17">
        <f t="shared" si="49"/>
        <v>0.2666666667</v>
      </c>
      <c r="GR45" s="16">
        <v>15.0</v>
      </c>
      <c r="GS45" s="16">
        <v>45.0</v>
      </c>
      <c r="GT45" s="17">
        <f t="shared" si="50"/>
        <v>0.3333333333</v>
      </c>
      <c r="GU45" s="8">
        <v>5.0</v>
      </c>
      <c r="GV45" s="16">
        <v>17.0</v>
      </c>
      <c r="GW45" s="17">
        <f t="shared" si="51"/>
        <v>0.2941176471</v>
      </c>
      <c r="GX45" s="16">
        <v>369.0</v>
      </c>
      <c r="GY45" s="16"/>
      <c r="GZ45" s="16"/>
      <c r="HA45" s="16">
        <v>244.0</v>
      </c>
      <c r="HB45" s="16">
        <v>667.0</v>
      </c>
      <c r="HC45" s="17">
        <f t="shared" si="52"/>
        <v>0.3658170915</v>
      </c>
      <c r="HD45" s="16"/>
      <c r="HE45" s="16"/>
      <c r="HF45" s="16"/>
    </row>
    <row r="46" ht="15.75" customHeight="1">
      <c r="A46" s="1">
        <f t="shared" si="58"/>
        <v>45108</v>
      </c>
      <c r="B46" s="8">
        <v>233.0</v>
      </c>
      <c r="C46" s="23">
        <v>1005.0</v>
      </c>
      <c r="D46" s="9">
        <f t="shared" si="1"/>
        <v>0.231840796</v>
      </c>
      <c r="E46" s="8">
        <v>33.0</v>
      </c>
      <c r="F46" s="8">
        <v>144.0</v>
      </c>
      <c r="G46" s="9">
        <f t="shared" si="2"/>
        <v>0.2291666667</v>
      </c>
      <c r="H46" s="8">
        <v>156.0</v>
      </c>
      <c r="I46" s="8">
        <v>605.0</v>
      </c>
      <c r="J46" s="9">
        <f t="shared" si="3"/>
        <v>0.2578512397</v>
      </c>
      <c r="K46" s="8">
        <v>278.0</v>
      </c>
      <c r="L46" s="8">
        <v>525.0</v>
      </c>
      <c r="M46" s="9">
        <f t="shared" si="61"/>
        <v>0.5295238095</v>
      </c>
      <c r="N46" s="8">
        <v>802.0</v>
      </c>
      <c r="O46" s="8">
        <v>2609.0</v>
      </c>
      <c r="P46" s="9">
        <f t="shared" si="4"/>
        <v>0.3073974703</v>
      </c>
      <c r="Q46" s="8">
        <v>26.0</v>
      </c>
      <c r="T46" s="8">
        <v>335.0</v>
      </c>
      <c r="U46" s="8">
        <v>627.0</v>
      </c>
      <c r="V46" s="9">
        <f t="shared" si="53"/>
        <v>0.5342902711</v>
      </c>
      <c r="W46" s="8">
        <v>84.0</v>
      </c>
      <c r="X46" s="8">
        <v>609.0</v>
      </c>
      <c r="Y46" s="9">
        <f t="shared" si="5"/>
        <v>0.1379310345</v>
      </c>
      <c r="Z46" s="8">
        <v>116.0</v>
      </c>
      <c r="AA46" s="8">
        <v>377.0</v>
      </c>
      <c r="AB46" s="9">
        <f t="shared" si="54"/>
        <v>0.3076923077</v>
      </c>
      <c r="AC46" s="8">
        <v>353.0</v>
      </c>
      <c r="AD46" s="8">
        <v>1874.0</v>
      </c>
      <c r="AE46" s="9">
        <f t="shared" si="55"/>
        <v>0.1883671291</v>
      </c>
      <c r="AF46" s="8">
        <v>123.0</v>
      </c>
      <c r="AG46" s="8">
        <v>538.0</v>
      </c>
      <c r="AH46" s="9">
        <f t="shared" si="6"/>
        <v>0.2286245353</v>
      </c>
      <c r="AI46" s="10">
        <v>90.0</v>
      </c>
      <c r="AJ46" s="8">
        <v>334.0</v>
      </c>
      <c r="AK46" s="9">
        <f t="shared" si="7"/>
        <v>0.2694610778</v>
      </c>
      <c r="AL46" s="16">
        <v>293.0</v>
      </c>
      <c r="AM46" s="16">
        <v>632.0</v>
      </c>
      <c r="AN46" s="17">
        <f t="shared" si="8"/>
        <v>0.4636075949</v>
      </c>
      <c r="AO46" s="18">
        <v>18.0</v>
      </c>
      <c r="AP46" s="18">
        <v>91.0</v>
      </c>
      <c r="AQ46" s="17">
        <f t="shared" si="9"/>
        <v>0.1978021978</v>
      </c>
      <c r="AR46" s="16">
        <v>48.0</v>
      </c>
      <c r="AS46" s="16">
        <v>133.0</v>
      </c>
      <c r="AT46" s="17">
        <f t="shared" si="65"/>
        <v>0.3609022556</v>
      </c>
      <c r="AU46" s="16">
        <v>530.0</v>
      </c>
      <c r="AV46" s="17"/>
      <c r="AW46" s="17"/>
      <c r="AX46" s="16">
        <v>30.0</v>
      </c>
      <c r="AY46" s="16">
        <v>107.0</v>
      </c>
      <c r="AZ46" s="17">
        <f t="shared" si="10"/>
        <v>0.2803738318</v>
      </c>
      <c r="BA46" s="16">
        <v>9.0</v>
      </c>
      <c r="BB46" s="16">
        <v>80.0</v>
      </c>
      <c r="BC46" s="17">
        <f t="shared" si="11"/>
        <v>0.1125</v>
      </c>
      <c r="BD46" s="17"/>
      <c r="BE46" s="16">
        <v>25.0</v>
      </c>
      <c r="BF46" s="17"/>
      <c r="BG46" s="17"/>
      <c r="BH46" s="18">
        <v>97.0</v>
      </c>
      <c r="BI46" s="17"/>
      <c r="BJ46" s="18">
        <v>9.0</v>
      </c>
      <c r="BK46" s="18">
        <v>201.0</v>
      </c>
      <c r="BL46" s="17">
        <f t="shared" si="12"/>
        <v>0.0447761194</v>
      </c>
      <c r="BM46" s="19">
        <v>36.0</v>
      </c>
      <c r="BN46" s="19">
        <v>82.0</v>
      </c>
      <c r="BO46" s="17">
        <f t="shared" si="13"/>
        <v>0.4390243902</v>
      </c>
      <c r="BP46" s="16">
        <v>29.0</v>
      </c>
      <c r="BQ46" s="16">
        <v>86.0</v>
      </c>
      <c r="BR46" s="17">
        <f t="shared" si="14"/>
        <v>0.3372093023</v>
      </c>
      <c r="BS46" s="16">
        <v>177.0</v>
      </c>
      <c r="BT46" s="16">
        <v>407.0</v>
      </c>
      <c r="BU46" s="17">
        <f t="shared" si="15"/>
        <v>0.4348894349</v>
      </c>
      <c r="BV46" s="18">
        <v>24.0</v>
      </c>
      <c r="BW46" s="18">
        <v>92.0</v>
      </c>
      <c r="BX46" s="17">
        <f t="shared" si="16"/>
        <v>0.2608695652</v>
      </c>
      <c r="BY46" s="16">
        <v>5.0</v>
      </c>
      <c r="BZ46" s="16">
        <v>90.0</v>
      </c>
      <c r="CA46" s="13">
        <f t="shared" si="59"/>
        <v>0.05555555556</v>
      </c>
      <c r="CB46" s="18">
        <v>4.0</v>
      </c>
      <c r="CC46" s="16">
        <v>55.0</v>
      </c>
      <c r="CD46" s="17">
        <f t="shared" si="17"/>
        <v>0.07272727273</v>
      </c>
      <c r="CE46" s="16">
        <v>179.0</v>
      </c>
      <c r="CF46" s="8">
        <v>521.0</v>
      </c>
      <c r="CG46" s="17">
        <f t="shared" si="18"/>
        <v>0.3435700576</v>
      </c>
      <c r="CH46" s="16">
        <v>6.0</v>
      </c>
      <c r="CI46" s="16">
        <v>25.0</v>
      </c>
      <c r="CJ46" s="17">
        <f t="shared" si="19"/>
        <v>0.24</v>
      </c>
      <c r="CK46" s="16">
        <v>19.0</v>
      </c>
      <c r="CL46" s="16">
        <v>109.0</v>
      </c>
      <c r="CM46" s="17">
        <f t="shared" si="20"/>
        <v>0.1743119266</v>
      </c>
      <c r="CN46" s="16">
        <v>14.0</v>
      </c>
      <c r="CO46" s="16">
        <v>116.0</v>
      </c>
      <c r="CP46" s="17">
        <f t="shared" si="21"/>
        <v>0.1206896552</v>
      </c>
      <c r="CQ46" s="16">
        <v>78.0</v>
      </c>
      <c r="CR46" s="16">
        <v>479.0</v>
      </c>
      <c r="CS46" s="17">
        <f t="shared" si="22"/>
        <v>0.1628392484</v>
      </c>
      <c r="CT46" s="16">
        <v>75.0</v>
      </c>
      <c r="CU46" s="16">
        <v>217.0</v>
      </c>
      <c r="CV46" s="17">
        <f t="shared" si="23"/>
        <v>0.3456221198</v>
      </c>
      <c r="CW46" s="16">
        <v>4.0</v>
      </c>
      <c r="CX46" s="16">
        <v>55.0</v>
      </c>
      <c r="CY46" s="17">
        <f t="shared" si="24"/>
        <v>0.07272727273</v>
      </c>
      <c r="CZ46" s="16"/>
      <c r="DA46" s="16"/>
      <c r="DB46" s="17"/>
      <c r="DC46" s="16">
        <v>69.0</v>
      </c>
      <c r="DD46" s="16">
        <v>128.0</v>
      </c>
      <c r="DE46" s="17">
        <f t="shared" si="25"/>
        <v>0.5390625</v>
      </c>
      <c r="DF46" s="16">
        <v>85.0</v>
      </c>
      <c r="DG46" s="16">
        <v>181.0</v>
      </c>
      <c r="DH46" s="17">
        <f t="shared" si="62"/>
        <v>0.4696132597</v>
      </c>
      <c r="DI46" s="16">
        <v>58.0</v>
      </c>
      <c r="DJ46" s="16">
        <v>180.0</v>
      </c>
      <c r="DK46" s="17">
        <f t="shared" si="26"/>
        <v>0.3222222222</v>
      </c>
      <c r="DL46" s="16">
        <v>18.0</v>
      </c>
      <c r="DM46" s="16">
        <v>44.0</v>
      </c>
      <c r="DN46" s="17">
        <f t="shared" si="27"/>
        <v>0.4090909091</v>
      </c>
      <c r="DO46" s="16">
        <v>1.0</v>
      </c>
      <c r="DP46" s="16">
        <v>43.0</v>
      </c>
      <c r="DQ46" s="17">
        <f t="shared" si="28"/>
        <v>0.02325581395</v>
      </c>
      <c r="DR46" s="16">
        <v>133.0</v>
      </c>
      <c r="DS46" s="16">
        <v>230.0</v>
      </c>
      <c r="DT46" s="17">
        <f t="shared" si="29"/>
        <v>0.5782608696</v>
      </c>
      <c r="DU46" s="16">
        <v>314.0</v>
      </c>
      <c r="DV46" s="16">
        <v>671.0</v>
      </c>
      <c r="DW46" s="17">
        <f t="shared" si="57"/>
        <v>0.4679582712</v>
      </c>
      <c r="DX46" s="16">
        <v>1.0</v>
      </c>
      <c r="DY46" s="16">
        <v>27.0</v>
      </c>
      <c r="DZ46" s="17">
        <f t="shared" si="30"/>
        <v>0.03703703704</v>
      </c>
      <c r="EA46" s="22">
        <v>243.0</v>
      </c>
      <c r="EB46" s="16">
        <v>574.0</v>
      </c>
      <c r="EC46" s="17">
        <f t="shared" si="31"/>
        <v>0.4233449477</v>
      </c>
      <c r="ED46" s="16">
        <v>8.0</v>
      </c>
      <c r="EE46" s="16">
        <v>26.0</v>
      </c>
      <c r="EF46" s="17">
        <f t="shared" si="32"/>
        <v>0.3076923077</v>
      </c>
      <c r="EG46" s="16">
        <v>11.0</v>
      </c>
      <c r="EH46" s="16">
        <v>78.0</v>
      </c>
      <c r="EI46" s="17">
        <f t="shared" si="33"/>
        <v>0.141025641</v>
      </c>
      <c r="EJ46" s="16">
        <v>266.0</v>
      </c>
      <c r="EK46" s="16">
        <v>732.0</v>
      </c>
      <c r="EL46" s="17">
        <f t="shared" si="34"/>
        <v>0.3633879781</v>
      </c>
      <c r="EM46" s="16">
        <v>45.0</v>
      </c>
      <c r="EN46" s="16">
        <v>58.0</v>
      </c>
      <c r="EO46" s="17">
        <f t="shared" si="35"/>
        <v>0.775862069</v>
      </c>
      <c r="EP46" s="16">
        <v>52.0</v>
      </c>
      <c r="EQ46" s="16">
        <v>147.0</v>
      </c>
      <c r="ER46" s="17">
        <f t="shared" si="60"/>
        <v>0.3537414966</v>
      </c>
      <c r="ES46" s="16">
        <v>23.0</v>
      </c>
      <c r="ET46" s="16">
        <v>159.0</v>
      </c>
      <c r="EU46" s="17">
        <f t="shared" si="36"/>
        <v>0.1446540881</v>
      </c>
      <c r="EV46" s="16">
        <v>25.0</v>
      </c>
      <c r="EW46" s="16">
        <v>88.0</v>
      </c>
      <c r="EX46" s="17">
        <f t="shared" si="64"/>
        <v>0.2840909091</v>
      </c>
      <c r="EY46" s="8">
        <v>228.0</v>
      </c>
      <c r="EZ46" s="8">
        <v>530.0</v>
      </c>
      <c r="FA46" s="17">
        <f t="shared" si="37"/>
        <v>0.4301886792</v>
      </c>
      <c r="FB46" s="16">
        <v>719.0</v>
      </c>
      <c r="FC46" s="16">
        <v>2150.0</v>
      </c>
      <c r="FD46" s="17">
        <f t="shared" si="38"/>
        <v>0.3339526242</v>
      </c>
      <c r="FE46" s="8">
        <v>44.0</v>
      </c>
      <c r="FF46" s="16">
        <v>99.0</v>
      </c>
      <c r="FG46" s="17">
        <f t="shared" si="39"/>
        <v>0.4444444444</v>
      </c>
      <c r="FH46" s="16">
        <v>1.0</v>
      </c>
      <c r="FI46" s="16">
        <v>66.0</v>
      </c>
      <c r="FJ46" s="17">
        <f t="shared" si="40"/>
        <v>0.01515151515</v>
      </c>
      <c r="FK46" s="16">
        <v>4.0</v>
      </c>
      <c r="FL46" s="16">
        <v>75.0</v>
      </c>
      <c r="FM46" s="17">
        <f t="shared" si="41"/>
        <v>0.05333333333</v>
      </c>
      <c r="FN46" s="16">
        <v>235.0</v>
      </c>
      <c r="FO46" s="16">
        <v>309.0</v>
      </c>
      <c r="FP46" s="17">
        <f t="shared" si="42"/>
        <v>0.7605177994</v>
      </c>
      <c r="FQ46" s="16">
        <v>132.0</v>
      </c>
      <c r="FR46" s="16">
        <v>227.0</v>
      </c>
      <c r="FS46" s="17">
        <f t="shared" si="43"/>
        <v>0.5814977974</v>
      </c>
      <c r="FT46" s="16">
        <v>57.0</v>
      </c>
      <c r="FU46" s="16"/>
      <c r="FV46" s="16"/>
      <c r="FW46" s="16">
        <v>11.0</v>
      </c>
      <c r="FX46" s="16">
        <v>57.0</v>
      </c>
      <c r="FY46" s="17">
        <f t="shared" si="44"/>
        <v>0.1929824561</v>
      </c>
      <c r="FZ46" s="16">
        <v>22.0</v>
      </c>
      <c r="GA46" s="16"/>
      <c r="GB46" s="16"/>
      <c r="GC46" s="16">
        <v>23.0</v>
      </c>
      <c r="GD46" s="16">
        <v>176.0</v>
      </c>
      <c r="GE46" s="17">
        <f t="shared" si="45"/>
        <v>0.1306818182</v>
      </c>
      <c r="GF46" s="16">
        <v>12.0</v>
      </c>
      <c r="GG46" s="16">
        <v>98.0</v>
      </c>
      <c r="GH46" s="17">
        <f t="shared" si="46"/>
        <v>0.1224489796</v>
      </c>
      <c r="GI46" s="16">
        <v>332.0</v>
      </c>
      <c r="GJ46" s="16">
        <v>700.0</v>
      </c>
      <c r="GK46" s="17">
        <f t="shared" si="47"/>
        <v>0.4742857143</v>
      </c>
      <c r="GL46" s="16">
        <v>36.0</v>
      </c>
      <c r="GM46" s="16">
        <v>131.0</v>
      </c>
      <c r="GN46" s="17">
        <f t="shared" si="63"/>
        <v>0.2748091603</v>
      </c>
      <c r="GO46" s="16">
        <v>6.0</v>
      </c>
      <c r="GP46" s="16">
        <v>19.0</v>
      </c>
      <c r="GQ46" s="17">
        <f t="shared" si="49"/>
        <v>0.3157894737</v>
      </c>
      <c r="GR46" s="16">
        <v>47.0</v>
      </c>
      <c r="GS46" s="16">
        <v>102.0</v>
      </c>
      <c r="GT46" s="17">
        <f t="shared" si="50"/>
        <v>0.4607843137</v>
      </c>
      <c r="GU46" s="8">
        <v>8.0</v>
      </c>
      <c r="GV46" s="16">
        <v>21.0</v>
      </c>
      <c r="GW46" s="17">
        <f t="shared" si="51"/>
        <v>0.380952381</v>
      </c>
      <c r="GX46" s="16">
        <v>428.0</v>
      </c>
      <c r="GY46" s="16"/>
      <c r="GZ46" s="16"/>
      <c r="HA46" s="16">
        <v>377.0</v>
      </c>
      <c r="HB46" s="16">
        <v>962.0</v>
      </c>
      <c r="HC46" s="17">
        <f t="shared" si="52"/>
        <v>0.3918918919</v>
      </c>
      <c r="HD46" s="16"/>
      <c r="HE46" s="16"/>
      <c r="HF46" s="16"/>
    </row>
    <row r="47" ht="15.75" customHeight="1">
      <c r="A47" s="1">
        <f t="shared" si="58"/>
        <v>45139</v>
      </c>
      <c r="D47" s="9"/>
      <c r="E47" s="8">
        <v>24.0</v>
      </c>
      <c r="F47" s="8">
        <v>187.0</v>
      </c>
      <c r="G47" s="9">
        <f t="shared" si="2"/>
        <v>0.128342246</v>
      </c>
      <c r="J47" s="9"/>
      <c r="K47" s="8">
        <v>265.0</v>
      </c>
      <c r="L47" s="8">
        <v>531.0</v>
      </c>
      <c r="M47" s="9">
        <f t="shared" si="61"/>
        <v>0.4990583804</v>
      </c>
      <c r="N47" s="8">
        <v>680.0</v>
      </c>
      <c r="O47" s="8">
        <v>2268.0</v>
      </c>
      <c r="P47" s="9">
        <f t="shared" si="4"/>
        <v>0.2998236332</v>
      </c>
      <c r="Q47" s="8">
        <v>17.0</v>
      </c>
      <c r="T47" s="8">
        <v>311.0</v>
      </c>
      <c r="V47" s="9"/>
      <c r="W47" s="8">
        <v>103.0</v>
      </c>
      <c r="X47" s="8">
        <v>742.0</v>
      </c>
      <c r="Y47" s="9">
        <f t="shared" si="5"/>
        <v>0.1388140162</v>
      </c>
      <c r="Z47" s="8">
        <v>144.0</v>
      </c>
      <c r="AA47" s="8">
        <v>341.0</v>
      </c>
      <c r="AB47" s="9">
        <f t="shared" si="54"/>
        <v>0.42228739</v>
      </c>
      <c r="AC47" s="8">
        <v>278.0</v>
      </c>
      <c r="AD47" s="8">
        <v>1691.0</v>
      </c>
      <c r="AE47" s="9">
        <f t="shared" si="55"/>
        <v>0.1643997635</v>
      </c>
      <c r="AF47" s="8">
        <v>134.0</v>
      </c>
      <c r="AG47" s="8">
        <v>629.0</v>
      </c>
      <c r="AH47" s="9">
        <f t="shared" si="6"/>
        <v>0.213036566</v>
      </c>
      <c r="AI47" s="10">
        <v>86.0</v>
      </c>
      <c r="AJ47" s="8">
        <v>342.0</v>
      </c>
      <c r="AK47" s="9">
        <f t="shared" si="7"/>
        <v>0.2514619883</v>
      </c>
      <c r="AL47" s="16">
        <v>120.0</v>
      </c>
      <c r="AM47" s="16">
        <v>408.0</v>
      </c>
      <c r="AN47" s="17">
        <f t="shared" si="8"/>
        <v>0.2941176471</v>
      </c>
      <c r="AO47" s="18">
        <v>23.0</v>
      </c>
      <c r="AP47" s="18">
        <v>98.0</v>
      </c>
      <c r="AQ47" s="17">
        <f t="shared" si="9"/>
        <v>0.2346938776</v>
      </c>
      <c r="AR47" s="16">
        <v>43.0</v>
      </c>
      <c r="AS47" s="16">
        <v>124.0</v>
      </c>
      <c r="AT47" s="17">
        <f t="shared" si="65"/>
        <v>0.3467741935</v>
      </c>
      <c r="AU47" s="16">
        <v>458.0</v>
      </c>
      <c r="AV47" s="17"/>
      <c r="AW47" s="17"/>
      <c r="AX47" s="16">
        <v>19.0</v>
      </c>
      <c r="AY47" s="16">
        <v>89.0</v>
      </c>
      <c r="AZ47" s="17">
        <f t="shared" si="10"/>
        <v>0.2134831461</v>
      </c>
      <c r="BA47" s="16">
        <v>10.0</v>
      </c>
      <c r="BB47" s="16">
        <v>66.0</v>
      </c>
      <c r="BC47" s="17">
        <f t="shared" si="11"/>
        <v>0.1515151515</v>
      </c>
      <c r="BD47" s="17"/>
      <c r="BE47" s="16">
        <v>24.0</v>
      </c>
      <c r="BF47" s="17"/>
      <c r="BG47" s="17"/>
      <c r="BH47" s="18">
        <v>76.0</v>
      </c>
      <c r="BI47" s="17"/>
      <c r="BJ47" s="18">
        <v>8.0</v>
      </c>
      <c r="BK47" s="18">
        <v>183.0</v>
      </c>
      <c r="BL47" s="17">
        <f t="shared" si="12"/>
        <v>0.04371584699</v>
      </c>
      <c r="BM47" s="19">
        <v>9.0</v>
      </c>
      <c r="BN47" s="19">
        <v>56.0</v>
      </c>
      <c r="BO47" s="17">
        <f t="shared" si="13"/>
        <v>0.1607142857</v>
      </c>
      <c r="BP47" s="16">
        <v>25.0</v>
      </c>
      <c r="BQ47" s="16">
        <v>106.0</v>
      </c>
      <c r="BR47" s="17">
        <f t="shared" si="14"/>
        <v>0.2358490566</v>
      </c>
      <c r="BS47" s="16">
        <v>173.0</v>
      </c>
      <c r="BT47" s="16">
        <v>342.0</v>
      </c>
      <c r="BU47" s="17">
        <f t="shared" si="15"/>
        <v>0.5058479532</v>
      </c>
      <c r="BV47" s="18">
        <v>17.0</v>
      </c>
      <c r="BW47" s="18">
        <v>97.0</v>
      </c>
      <c r="BX47" s="17">
        <f t="shared" si="16"/>
        <v>0.175257732</v>
      </c>
      <c r="BY47" s="16">
        <v>24.0</v>
      </c>
      <c r="BZ47" s="16">
        <v>116.0</v>
      </c>
      <c r="CA47" s="13">
        <f t="shared" si="59"/>
        <v>0.2068965517</v>
      </c>
      <c r="CB47" s="18">
        <v>5.0</v>
      </c>
      <c r="CC47" s="16">
        <v>53.0</v>
      </c>
      <c r="CD47" s="17">
        <f t="shared" si="17"/>
        <v>0.09433962264</v>
      </c>
      <c r="CE47" s="16">
        <v>127.0</v>
      </c>
      <c r="CF47" s="8">
        <v>412.0</v>
      </c>
      <c r="CG47" s="17">
        <f t="shared" si="18"/>
        <v>0.3082524272</v>
      </c>
      <c r="CH47" s="16">
        <v>4.0</v>
      </c>
      <c r="CI47" s="16">
        <v>16.0</v>
      </c>
      <c r="CJ47" s="17">
        <f t="shared" si="19"/>
        <v>0.25</v>
      </c>
      <c r="CK47" s="16">
        <v>10.0</v>
      </c>
      <c r="CL47" s="16">
        <v>77.0</v>
      </c>
      <c r="CM47" s="17">
        <f t="shared" si="20"/>
        <v>0.1298701299</v>
      </c>
      <c r="CN47" s="16">
        <v>8.0</v>
      </c>
      <c r="CO47" s="16">
        <v>94.0</v>
      </c>
      <c r="CP47" s="17">
        <f t="shared" si="21"/>
        <v>0.08510638298</v>
      </c>
      <c r="CQ47" s="16">
        <v>56.0</v>
      </c>
      <c r="CR47" s="16">
        <v>442.0</v>
      </c>
      <c r="CS47" s="17">
        <f t="shared" si="22"/>
        <v>0.1266968326</v>
      </c>
      <c r="CT47" s="16">
        <v>46.0</v>
      </c>
      <c r="CU47" s="16">
        <v>195.0</v>
      </c>
      <c r="CV47" s="17">
        <f t="shared" si="23"/>
        <v>0.2358974359</v>
      </c>
      <c r="CW47" s="16">
        <v>5.0</v>
      </c>
      <c r="CX47" s="16">
        <v>53.0</v>
      </c>
      <c r="CY47" s="17">
        <f t="shared" si="24"/>
        <v>0.09433962264</v>
      </c>
      <c r="CZ47" s="16"/>
      <c r="DA47" s="16"/>
      <c r="DB47" s="17"/>
      <c r="DC47" s="16">
        <v>85.0</v>
      </c>
      <c r="DD47" s="16">
        <v>175.0</v>
      </c>
      <c r="DE47" s="17">
        <f t="shared" si="25"/>
        <v>0.4857142857</v>
      </c>
      <c r="DF47" s="16">
        <v>90.0</v>
      </c>
      <c r="DG47" s="16">
        <v>155.0</v>
      </c>
      <c r="DH47" s="17">
        <f t="shared" si="62"/>
        <v>0.5806451613</v>
      </c>
      <c r="DI47" s="16">
        <v>46.0</v>
      </c>
      <c r="DJ47" s="16">
        <v>189.0</v>
      </c>
      <c r="DK47" s="17">
        <f t="shared" si="26"/>
        <v>0.2433862434</v>
      </c>
      <c r="DL47" s="16">
        <v>8.0</v>
      </c>
      <c r="DM47" s="16">
        <v>31.0</v>
      </c>
      <c r="DN47" s="17">
        <f t="shared" si="27"/>
        <v>0.2580645161</v>
      </c>
      <c r="DO47" s="16">
        <v>1.0</v>
      </c>
      <c r="DP47" s="16">
        <v>22.0</v>
      </c>
      <c r="DQ47" s="17">
        <f t="shared" si="28"/>
        <v>0.04545454545</v>
      </c>
      <c r="DR47" s="16">
        <v>53.0</v>
      </c>
      <c r="DS47" s="16">
        <v>161.0</v>
      </c>
      <c r="DT47" s="17">
        <f t="shared" si="29"/>
        <v>0.3291925466</v>
      </c>
      <c r="DU47" s="16">
        <v>300.0</v>
      </c>
      <c r="DV47" s="16">
        <v>613.0</v>
      </c>
      <c r="DW47" s="17">
        <f t="shared" si="57"/>
        <v>0.4893964111</v>
      </c>
      <c r="DX47" s="16">
        <v>2.0</v>
      </c>
      <c r="DY47" s="16">
        <v>17.0</v>
      </c>
      <c r="DZ47" s="17">
        <f t="shared" si="30"/>
        <v>0.1176470588</v>
      </c>
      <c r="EA47" s="22">
        <v>333.0</v>
      </c>
      <c r="EB47" s="16">
        <v>671.0</v>
      </c>
      <c r="EC47" s="17">
        <f t="shared" si="31"/>
        <v>0.4962742176</v>
      </c>
      <c r="ED47" s="16">
        <v>6.0</v>
      </c>
      <c r="EE47" s="16">
        <v>24.0</v>
      </c>
      <c r="EF47" s="17">
        <f t="shared" si="32"/>
        <v>0.25</v>
      </c>
      <c r="EG47" s="16">
        <v>2.0</v>
      </c>
      <c r="EH47" s="16">
        <v>63.0</v>
      </c>
      <c r="EI47" s="17">
        <f t="shared" si="33"/>
        <v>0.03174603175</v>
      </c>
      <c r="EJ47" s="16">
        <v>118.0</v>
      </c>
      <c r="EK47" s="16">
        <v>490.0</v>
      </c>
      <c r="EL47" s="17">
        <f t="shared" si="34"/>
        <v>0.2408163265</v>
      </c>
      <c r="EM47" s="16">
        <v>6.0</v>
      </c>
      <c r="EN47" s="16">
        <v>21.0</v>
      </c>
      <c r="EO47" s="17">
        <f t="shared" si="35"/>
        <v>0.2857142857</v>
      </c>
      <c r="EP47" s="16">
        <v>85.0</v>
      </c>
      <c r="EQ47" s="16">
        <v>190.0</v>
      </c>
      <c r="ER47" s="17">
        <f t="shared" si="60"/>
        <v>0.4473684211</v>
      </c>
      <c r="ES47" s="16">
        <v>22.0</v>
      </c>
      <c r="ET47" s="16">
        <v>124.0</v>
      </c>
      <c r="EU47" s="17">
        <f t="shared" si="36"/>
        <v>0.1774193548</v>
      </c>
      <c r="EV47" s="16"/>
      <c r="EW47" s="16">
        <v>75.0</v>
      </c>
      <c r="EX47" s="17"/>
      <c r="EY47" s="8">
        <v>242.0</v>
      </c>
      <c r="EZ47" s="8">
        <v>523.0</v>
      </c>
      <c r="FA47" s="17">
        <f t="shared" si="37"/>
        <v>0.4627151052</v>
      </c>
      <c r="FB47" s="16">
        <v>713.0</v>
      </c>
      <c r="FC47" s="16">
        <v>2153.0</v>
      </c>
      <c r="FD47" s="17">
        <f>FB47/FC47</f>
        <v>0.3311658151</v>
      </c>
      <c r="FE47" s="8">
        <v>63.0</v>
      </c>
      <c r="FF47" s="16">
        <v>126.0</v>
      </c>
      <c r="FG47" s="17">
        <f t="shared" si="39"/>
        <v>0.5</v>
      </c>
      <c r="FH47" s="16">
        <v>1.0</v>
      </c>
      <c r="FI47" s="16">
        <v>73.0</v>
      </c>
      <c r="FJ47" s="17">
        <f t="shared" si="40"/>
        <v>0.01369863014</v>
      </c>
      <c r="FK47" s="16">
        <v>2.0</v>
      </c>
      <c r="FL47" s="16">
        <v>58.0</v>
      </c>
      <c r="FM47" s="17">
        <f t="shared" si="41"/>
        <v>0.03448275862</v>
      </c>
      <c r="FN47" s="16">
        <v>152.0</v>
      </c>
      <c r="FO47" s="16">
        <v>235.0</v>
      </c>
      <c r="FP47" s="17">
        <f t="shared" si="42"/>
        <v>0.6468085106</v>
      </c>
      <c r="FQ47" s="16">
        <v>113.0</v>
      </c>
      <c r="FR47" s="16">
        <v>199.0</v>
      </c>
      <c r="FS47" s="17">
        <f t="shared" si="43"/>
        <v>0.567839196</v>
      </c>
      <c r="FT47" s="16">
        <v>36.0</v>
      </c>
      <c r="FU47" s="16"/>
      <c r="FV47" s="16"/>
      <c r="FW47" s="16">
        <v>12.0</v>
      </c>
      <c r="FX47" s="16">
        <v>59.0</v>
      </c>
      <c r="FY47" s="17">
        <f t="shared" si="44"/>
        <v>0.2033898305</v>
      </c>
      <c r="FZ47" s="16">
        <v>24.0</v>
      </c>
      <c r="GA47" s="16"/>
      <c r="GB47" s="16"/>
      <c r="GC47" s="16">
        <v>99.0</v>
      </c>
      <c r="GD47" s="16">
        <v>256.0</v>
      </c>
      <c r="GE47" s="17">
        <f t="shared" si="45"/>
        <v>0.38671875</v>
      </c>
      <c r="GF47" s="16">
        <v>9.0</v>
      </c>
      <c r="GG47" s="16">
        <v>103.0</v>
      </c>
      <c r="GH47" s="17">
        <f t="shared" si="46"/>
        <v>0.08737864078</v>
      </c>
      <c r="GI47" s="16">
        <v>396.0</v>
      </c>
      <c r="GJ47" s="16">
        <v>773.0</v>
      </c>
      <c r="GK47" s="17">
        <f t="shared" si="47"/>
        <v>0.5122897801</v>
      </c>
      <c r="GL47" s="16">
        <v>20.0</v>
      </c>
      <c r="GM47" s="16">
        <v>107.0</v>
      </c>
      <c r="GN47" s="17">
        <f t="shared" si="63"/>
        <v>0.1869158879</v>
      </c>
      <c r="GO47" s="16">
        <v>9.0</v>
      </c>
      <c r="GP47" s="16">
        <v>25.0</v>
      </c>
      <c r="GQ47" s="17">
        <f t="shared" si="49"/>
        <v>0.36</v>
      </c>
      <c r="GR47" s="16">
        <v>83.0</v>
      </c>
      <c r="GS47" s="16">
        <v>126.0</v>
      </c>
      <c r="GT47" s="17">
        <f t="shared" si="50"/>
        <v>0.6587301587</v>
      </c>
      <c r="GU47" s="16"/>
      <c r="GW47" s="16"/>
      <c r="GX47" s="16">
        <v>363.0</v>
      </c>
      <c r="GY47" s="16"/>
      <c r="GZ47" s="16"/>
      <c r="HA47" s="16">
        <v>286.0</v>
      </c>
      <c r="HB47" s="16">
        <v>784.0</v>
      </c>
      <c r="HC47" s="17">
        <f t="shared" si="52"/>
        <v>0.3647959184</v>
      </c>
      <c r="HD47" s="16"/>
      <c r="HE47" s="16"/>
      <c r="HF47" s="16"/>
    </row>
    <row r="48" ht="15.75" customHeight="1">
      <c r="A48" s="1"/>
      <c r="D48" s="9"/>
      <c r="G48" s="9"/>
      <c r="J48" s="9"/>
      <c r="M48" s="9"/>
      <c r="V48" s="9"/>
      <c r="Y48" s="9"/>
      <c r="AB48" s="9"/>
      <c r="AE48" s="9"/>
      <c r="AH48" s="9"/>
      <c r="AI48" s="10"/>
      <c r="AK48" s="9"/>
      <c r="AL48" s="12"/>
      <c r="AM48" s="12"/>
      <c r="AN48" s="13"/>
      <c r="AO48" s="14"/>
      <c r="AP48" s="14"/>
      <c r="AQ48" s="13"/>
      <c r="AR48" s="13"/>
      <c r="AS48" s="13"/>
      <c r="AT48" s="13"/>
      <c r="AU48" s="13"/>
      <c r="AV48" s="13"/>
      <c r="AW48" s="13"/>
      <c r="AX48" s="15"/>
      <c r="AY48" s="15"/>
      <c r="AZ48" s="13"/>
      <c r="BA48" s="12"/>
      <c r="BB48" s="12"/>
      <c r="BC48" s="13"/>
      <c r="BD48" s="13"/>
      <c r="BE48" s="13"/>
      <c r="BF48" s="13"/>
      <c r="BG48" s="13"/>
      <c r="BH48" s="14"/>
      <c r="BI48" s="13"/>
      <c r="BJ48" s="14"/>
      <c r="BK48" s="14"/>
      <c r="BL48" s="13"/>
      <c r="BM48" s="11"/>
      <c r="BN48" s="11"/>
      <c r="BO48" s="13"/>
      <c r="BP48" s="12"/>
      <c r="BQ48" s="12"/>
      <c r="BR48" s="13"/>
      <c r="BS48" s="13"/>
      <c r="BT48" s="13"/>
      <c r="BU48" s="13"/>
      <c r="BV48" s="14"/>
      <c r="BW48" s="14"/>
      <c r="BX48" s="13"/>
      <c r="BY48" s="12"/>
      <c r="BZ48" s="12"/>
      <c r="CA48" s="13"/>
      <c r="CB48" s="14"/>
      <c r="CC48" s="14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2"/>
      <c r="DD48" s="13"/>
      <c r="DE48" s="13"/>
      <c r="DF48" s="13"/>
      <c r="DG48" s="13"/>
      <c r="DH48" s="13"/>
      <c r="DI48" s="13"/>
      <c r="DJ48" s="13"/>
      <c r="DK48" s="13"/>
      <c r="DL48" s="13"/>
      <c r="DM48" s="12"/>
      <c r="DN48" s="13"/>
      <c r="DO48" s="13"/>
      <c r="DP48" s="12"/>
      <c r="DQ48" s="13"/>
      <c r="DR48" s="13"/>
      <c r="DS48" s="12"/>
      <c r="DT48" s="13"/>
      <c r="DU48" s="13"/>
      <c r="DV48" s="13"/>
      <c r="DW48" s="13"/>
      <c r="DX48" s="12"/>
      <c r="DY48" s="12"/>
      <c r="DZ48" s="13"/>
      <c r="EA48" s="12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2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2"/>
      <c r="GD48" s="12"/>
      <c r="GE48" s="13"/>
      <c r="GF48" s="12"/>
      <c r="GG48" s="12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2"/>
      <c r="GT48" s="12"/>
      <c r="GU48" s="13"/>
      <c r="GV48" s="13"/>
      <c r="GW48" s="13"/>
      <c r="GX48" s="13"/>
      <c r="GY48" s="13"/>
      <c r="GZ48" s="13"/>
      <c r="HA48" s="13"/>
      <c r="HB48" s="12"/>
      <c r="HC48" s="13"/>
      <c r="HD48" s="13"/>
      <c r="HE48" s="13"/>
      <c r="HF48" s="13"/>
    </row>
    <row r="49" ht="15.75" customHeight="1">
      <c r="A49" s="1"/>
      <c r="D49" s="9"/>
      <c r="G49" s="9"/>
      <c r="J49" s="9"/>
      <c r="M49" s="9"/>
      <c r="P49" s="9"/>
      <c r="V49" s="9"/>
      <c r="Y49" s="9"/>
      <c r="AB49" s="9"/>
      <c r="AE49" s="9"/>
      <c r="AH49" s="9"/>
      <c r="AI49" s="10"/>
      <c r="AK49" s="9"/>
      <c r="AL49" s="12"/>
      <c r="AM49" s="12"/>
      <c r="AN49" s="13"/>
      <c r="AO49" s="14"/>
      <c r="AP49" s="14"/>
      <c r="AQ49" s="13"/>
      <c r="AR49" s="13"/>
      <c r="AS49" s="13"/>
      <c r="AT49" s="13"/>
      <c r="AU49" s="13"/>
      <c r="AV49" s="13"/>
      <c r="AW49" s="13"/>
      <c r="AX49" s="15"/>
      <c r="AY49" s="15"/>
      <c r="AZ49" s="13"/>
      <c r="BA49" s="12"/>
      <c r="BB49" s="12"/>
      <c r="BC49" s="13"/>
      <c r="BD49" s="13"/>
      <c r="BE49" s="13"/>
      <c r="BF49" s="13"/>
      <c r="BG49" s="13"/>
      <c r="BH49" s="14"/>
      <c r="BI49" s="13"/>
      <c r="BJ49" s="14"/>
      <c r="BK49" s="14"/>
      <c r="BL49" s="13"/>
      <c r="BM49" s="11"/>
      <c r="BN49" s="11"/>
      <c r="BO49" s="13"/>
      <c r="BP49" s="12"/>
      <c r="BQ49" s="12"/>
      <c r="BR49" s="13"/>
      <c r="BS49" s="13"/>
      <c r="BT49" s="13"/>
      <c r="BU49" s="13"/>
      <c r="BV49" s="14"/>
      <c r="BW49" s="14"/>
      <c r="BX49" s="13"/>
      <c r="BY49" s="12"/>
      <c r="BZ49" s="12"/>
      <c r="CA49" s="13"/>
      <c r="CB49" s="14"/>
      <c r="CC49" s="14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2"/>
      <c r="DY49" s="12"/>
      <c r="DZ49" s="13"/>
      <c r="EA49" s="12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2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2"/>
      <c r="GD49" s="12"/>
      <c r="GE49" s="13"/>
      <c r="GF49" s="12"/>
      <c r="GG49" s="12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2"/>
      <c r="GT49" s="12"/>
      <c r="GU49" s="13"/>
      <c r="GV49" s="13"/>
      <c r="GW49" s="13"/>
      <c r="GX49" s="13"/>
      <c r="GY49" s="13"/>
      <c r="GZ49" s="13"/>
      <c r="HA49" s="13"/>
      <c r="HB49" s="12"/>
      <c r="HC49" s="13"/>
      <c r="HD49" s="13"/>
      <c r="HE49" s="13"/>
      <c r="HF49" s="13"/>
    </row>
    <row r="50" ht="15.75" customHeight="1">
      <c r="A50" s="1"/>
      <c r="D50" s="9"/>
      <c r="G50" s="9"/>
      <c r="J50" s="9"/>
      <c r="M50" s="9"/>
      <c r="P50" s="9"/>
      <c r="V50" s="9"/>
      <c r="Y50" s="9"/>
      <c r="AB50" s="9"/>
      <c r="AE50" s="9"/>
      <c r="AH50" s="9"/>
      <c r="AI50" s="10"/>
      <c r="AK50" s="9"/>
      <c r="AL50" s="12"/>
      <c r="AM50" s="12"/>
      <c r="AN50" s="13"/>
      <c r="AO50" s="14"/>
      <c r="AP50" s="14"/>
      <c r="AQ50" s="13"/>
      <c r="AR50" s="13"/>
      <c r="AS50" s="13"/>
      <c r="AT50" s="13"/>
      <c r="AU50" s="13"/>
      <c r="AV50" s="13"/>
      <c r="AW50" s="13"/>
      <c r="AX50" s="15"/>
      <c r="AY50" s="15"/>
      <c r="AZ50" s="13"/>
      <c r="BA50" s="12"/>
      <c r="BB50" s="12"/>
      <c r="BC50" s="13"/>
      <c r="BD50" s="13"/>
      <c r="BE50" s="13"/>
      <c r="BF50" s="13"/>
      <c r="BG50" s="13"/>
      <c r="BH50" s="14"/>
      <c r="BI50" s="13"/>
      <c r="BJ50" s="14"/>
      <c r="BK50" s="14"/>
      <c r="BL50" s="13"/>
      <c r="BM50" s="11"/>
      <c r="BN50" s="11"/>
      <c r="BO50" s="13"/>
      <c r="BP50" s="12"/>
      <c r="BQ50" s="12"/>
      <c r="BR50" s="13"/>
      <c r="BS50" s="13"/>
      <c r="BT50" s="13"/>
      <c r="BU50" s="13"/>
      <c r="BV50" s="14"/>
      <c r="BW50" s="14"/>
      <c r="BX50" s="13"/>
      <c r="BY50" s="12"/>
      <c r="BZ50" s="12"/>
      <c r="CA50" s="13"/>
      <c r="CB50" s="14"/>
      <c r="CC50" s="14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2"/>
      <c r="DY50" s="12"/>
      <c r="DZ50" s="13"/>
      <c r="EA50" s="12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2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2"/>
      <c r="GD50" s="12"/>
      <c r="GE50" s="13"/>
      <c r="GF50" s="12"/>
      <c r="GG50" s="12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2"/>
      <c r="GT50" s="12"/>
      <c r="GU50" s="13"/>
      <c r="GV50" s="13"/>
      <c r="GW50" s="13"/>
      <c r="GX50" s="13"/>
      <c r="GY50" s="13"/>
      <c r="GZ50" s="13"/>
      <c r="HA50" s="13"/>
      <c r="HB50" s="12"/>
      <c r="HC50" s="13"/>
      <c r="HD50" s="13"/>
      <c r="HE50" s="13"/>
      <c r="HF50" s="13"/>
    </row>
    <row r="51" ht="15.75" customHeight="1">
      <c r="A51" s="1"/>
      <c r="D51" s="9"/>
      <c r="G51" s="9"/>
      <c r="J51" s="9"/>
      <c r="M51" s="9"/>
      <c r="P51" s="9"/>
      <c r="V51" s="9"/>
      <c r="Y51" s="9"/>
      <c r="AB51" s="9"/>
      <c r="AE51" s="9"/>
      <c r="AH51" s="9"/>
      <c r="AI51" s="10"/>
      <c r="AK51" s="9"/>
      <c r="AL51" s="12"/>
      <c r="AM51" s="12"/>
      <c r="AN51" s="13"/>
      <c r="AO51" s="14"/>
      <c r="AP51" s="14"/>
      <c r="AQ51" s="13"/>
      <c r="AR51" s="13"/>
      <c r="AS51" s="13"/>
      <c r="AT51" s="13"/>
      <c r="AU51" s="13"/>
      <c r="AV51" s="13"/>
      <c r="AW51" s="13"/>
      <c r="AX51" s="15"/>
      <c r="AY51" s="15"/>
      <c r="AZ51" s="13"/>
      <c r="BA51" s="12"/>
      <c r="BB51" s="12"/>
      <c r="BC51" s="13"/>
      <c r="BD51" s="13"/>
      <c r="BE51" s="13"/>
      <c r="BF51" s="13"/>
      <c r="BG51" s="13"/>
      <c r="BH51" s="14"/>
      <c r="BI51" s="13"/>
      <c r="BJ51" s="14"/>
      <c r="BK51" s="14"/>
      <c r="BL51" s="13"/>
      <c r="BM51" s="11"/>
      <c r="BN51" s="11"/>
      <c r="BO51" s="13"/>
      <c r="BP51" s="12"/>
      <c r="BQ51" s="12"/>
      <c r="BR51" s="13"/>
      <c r="BS51" s="13"/>
      <c r="BT51" s="13"/>
      <c r="BU51" s="13"/>
      <c r="BV51" s="14"/>
      <c r="BW51" s="14"/>
      <c r="BX51" s="13"/>
      <c r="BY51" s="12"/>
      <c r="BZ51" s="12"/>
      <c r="CA51" s="13"/>
      <c r="CB51" s="14"/>
      <c r="CC51" s="14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2"/>
      <c r="DY51" s="12"/>
      <c r="DZ51" s="13"/>
      <c r="EA51" s="12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2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2"/>
      <c r="GD51" s="12"/>
      <c r="GE51" s="13"/>
      <c r="GF51" s="12"/>
      <c r="GG51" s="12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2"/>
      <c r="GT51" s="12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</row>
    <row r="52" ht="15.75" customHeight="1">
      <c r="A52" s="1"/>
      <c r="D52" s="9"/>
      <c r="G52" s="9"/>
      <c r="J52" s="9"/>
      <c r="M52" s="9"/>
      <c r="P52" s="9"/>
      <c r="V52" s="9"/>
      <c r="Y52" s="9"/>
      <c r="AB52" s="9"/>
      <c r="AE52" s="9"/>
      <c r="AH52" s="9"/>
      <c r="AI52" s="10"/>
      <c r="AK52" s="9"/>
      <c r="AL52" s="12"/>
      <c r="AM52" s="12"/>
      <c r="AN52" s="13"/>
      <c r="AO52" s="14"/>
      <c r="AP52" s="14"/>
      <c r="AQ52" s="13"/>
      <c r="AR52" s="13"/>
      <c r="AS52" s="13"/>
      <c r="AT52" s="13"/>
      <c r="AU52" s="13"/>
      <c r="AV52" s="13"/>
      <c r="AW52" s="13"/>
      <c r="AX52" s="15"/>
      <c r="AY52" s="15"/>
      <c r="AZ52" s="13"/>
      <c r="BA52" s="12"/>
      <c r="BB52" s="12"/>
      <c r="BC52" s="13"/>
      <c r="BD52" s="13"/>
      <c r="BE52" s="13"/>
      <c r="BF52" s="13"/>
      <c r="BG52" s="13"/>
      <c r="BH52" s="14"/>
      <c r="BI52" s="13"/>
      <c r="BJ52" s="14"/>
      <c r="BK52" s="14"/>
      <c r="BL52" s="13"/>
      <c r="BM52" s="11"/>
      <c r="BN52" s="11"/>
      <c r="BO52" s="13"/>
      <c r="BP52" s="12"/>
      <c r="BQ52" s="12"/>
      <c r="BR52" s="13"/>
      <c r="BS52" s="13"/>
      <c r="BT52" s="13"/>
      <c r="BU52" s="13"/>
      <c r="BV52" s="14"/>
      <c r="BW52" s="14"/>
      <c r="BX52" s="13"/>
      <c r="BY52" s="12"/>
      <c r="BZ52" s="12"/>
      <c r="CA52" s="13"/>
      <c r="CB52" s="14"/>
      <c r="CC52" s="14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2"/>
      <c r="DY52" s="12"/>
      <c r="DZ52" s="13"/>
      <c r="EA52" s="12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2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2"/>
      <c r="GD52" s="12"/>
      <c r="GE52" s="13"/>
      <c r="GF52" s="12"/>
      <c r="GG52" s="12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2"/>
      <c r="GT52" s="12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</row>
    <row r="53" ht="15.75" customHeight="1">
      <c r="A53" s="1"/>
      <c r="D53" s="9"/>
      <c r="G53" s="9"/>
      <c r="J53" s="9"/>
      <c r="M53" s="9"/>
      <c r="P53" s="9"/>
      <c r="V53" s="9"/>
      <c r="Y53" s="9"/>
      <c r="AB53" s="9"/>
      <c r="AE53" s="9"/>
      <c r="AH53" s="9"/>
      <c r="AI53" s="10"/>
      <c r="AK53" s="9"/>
      <c r="AL53" s="12"/>
      <c r="AM53" s="12"/>
      <c r="AN53" s="13"/>
      <c r="AO53" s="14"/>
      <c r="AP53" s="14"/>
      <c r="AQ53" s="13"/>
      <c r="AR53" s="13"/>
      <c r="AS53" s="13"/>
      <c r="AT53" s="13"/>
      <c r="AU53" s="13"/>
      <c r="AV53" s="13"/>
      <c r="AW53" s="13"/>
      <c r="AX53" s="15"/>
      <c r="AY53" s="15"/>
      <c r="AZ53" s="13"/>
      <c r="BA53" s="12"/>
      <c r="BB53" s="12"/>
      <c r="BC53" s="13"/>
      <c r="BD53" s="13"/>
      <c r="BE53" s="13"/>
      <c r="BF53" s="13"/>
      <c r="BG53" s="13"/>
      <c r="BH53" s="14"/>
      <c r="BI53" s="13"/>
      <c r="BJ53" s="14"/>
      <c r="BK53" s="14"/>
      <c r="BL53" s="13"/>
      <c r="BM53" s="11"/>
      <c r="BN53" s="11"/>
      <c r="BO53" s="13"/>
      <c r="BP53" s="12"/>
      <c r="BQ53" s="12"/>
      <c r="BR53" s="13"/>
      <c r="BS53" s="13"/>
      <c r="BT53" s="13"/>
      <c r="BU53" s="13"/>
      <c r="BV53" s="14"/>
      <c r="BW53" s="14"/>
      <c r="BX53" s="13"/>
      <c r="BY53" s="12"/>
      <c r="BZ53" s="12"/>
      <c r="CA53" s="13"/>
      <c r="CB53" s="14"/>
      <c r="CC53" s="14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2"/>
      <c r="DY53" s="12"/>
      <c r="DZ53" s="13"/>
      <c r="EA53" s="12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2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2"/>
      <c r="GD53" s="12"/>
      <c r="GE53" s="13"/>
      <c r="GF53" s="12"/>
      <c r="GG53" s="12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2"/>
      <c r="GT53" s="12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</row>
    <row r="54" ht="15.75" customHeight="1">
      <c r="A54" s="1"/>
      <c r="D54" s="9"/>
      <c r="G54" s="9"/>
      <c r="J54" s="9"/>
      <c r="M54" s="9"/>
      <c r="P54" s="9"/>
      <c r="V54" s="9"/>
      <c r="Y54" s="9"/>
      <c r="AB54" s="9"/>
      <c r="AE54" s="9"/>
      <c r="AH54" s="9"/>
      <c r="AI54" s="10"/>
      <c r="AK54" s="9"/>
      <c r="AL54" s="12"/>
      <c r="AM54" s="12"/>
      <c r="AN54" s="13"/>
      <c r="AO54" s="14"/>
      <c r="AP54" s="14"/>
      <c r="AQ54" s="13"/>
      <c r="AR54" s="13"/>
      <c r="AS54" s="13"/>
      <c r="AT54" s="13"/>
      <c r="AU54" s="13"/>
      <c r="AV54" s="13"/>
      <c r="AW54" s="13"/>
      <c r="AX54" s="15"/>
      <c r="AY54" s="15"/>
      <c r="AZ54" s="13"/>
      <c r="BA54" s="12"/>
      <c r="BB54" s="12"/>
      <c r="BC54" s="13"/>
      <c r="BD54" s="13"/>
      <c r="BE54" s="13"/>
      <c r="BF54" s="13"/>
      <c r="BG54" s="13"/>
      <c r="BH54" s="14"/>
      <c r="BI54" s="13"/>
      <c r="BJ54" s="14"/>
      <c r="BK54" s="14"/>
      <c r="BL54" s="13"/>
      <c r="BM54" s="11"/>
      <c r="BN54" s="11"/>
      <c r="BO54" s="13"/>
      <c r="BP54" s="12"/>
      <c r="BQ54" s="12"/>
      <c r="BR54" s="13"/>
      <c r="BS54" s="13"/>
      <c r="BT54" s="13"/>
      <c r="BU54" s="13"/>
      <c r="BV54" s="14"/>
      <c r="BW54" s="14"/>
      <c r="BX54" s="13"/>
      <c r="BY54" s="12"/>
      <c r="BZ54" s="12"/>
      <c r="CA54" s="13"/>
      <c r="CB54" s="14"/>
      <c r="CC54" s="14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2"/>
      <c r="DY54" s="12"/>
      <c r="DZ54" s="13"/>
      <c r="EA54" s="12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2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2"/>
      <c r="GD54" s="12"/>
      <c r="GE54" s="13"/>
      <c r="GF54" s="12"/>
      <c r="GG54" s="12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2"/>
      <c r="GT54" s="12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</row>
    <row r="55" ht="15.75" customHeight="1">
      <c r="A55" s="1"/>
      <c r="D55" s="9"/>
      <c r="G55" s="9"/>
      <c r="J55" s="9"/>
      <c r="M55" s="9"/>
      <c r="P55" s="9"/>
      <c r="V55" s="9"/>
      <c r="Y55" s="9"/>
      <c r="AB55" s="9"/>
      <c r="AE55" s="9"/>
      <c r="AH55" s="9"/>
      <c r="AI55" s="10"/>
      <c r="AK55" s="9"/>
      <c r="AL55" s="12"/>
      <c r="AM55" s="12"/>
      <c r="AN55" s="13"/>
      <c r="AO55" s="14"/>
      <c r="AP55" s="14"/>
      <c r="AQ55" s="13"/>
      <c r="AR55" s="13"/>
      <c r="AS55" s="13"/>
      <c r="AT55" s="13"/>
      <c r="AU55" s="13"/>
      <c r="AV55" s="13"/>
      <c r="AW55" s="13"/>
      <c r="AX55" s="15"/>
      <c r="AY55" s="15"/>
      <c r="AZ55" s="13"/>
      <c r="BA55" s="12"/>
      <c r="BB55" s="12"/>
      <c r="BC55" s="13"/>
      <c r="BD55" s="13"/>
      <c r="BE55" s="13"/>
      <c r="BF55" s="13"/>
      <c r="BG55" s="13"/>
      <c r="BH55" s="14"/>
      <c r="BI55" s="13"/>
      <c r="BJ55" s="14"/>
      <c r="BK55" s="14"/>
      <c r="BL55" s="13"/>
      <c r="BM55" s="11"/>
      <c r="BN55" s="11"/>
      <c r="BO55" s="13"/>
      <c r="BP55" s="12"/>
      <c r="BQ55" s="12"/>
      <c r="BR55" s="13"/>
      <c r="BS55" s="13"/>
      <c r="BT55" s="13"/>
      <c r="BU55" s="13"/>
      <c r="BV55" s="14"/>
      <c r="BW55" s="14"/>
      <c r="BX55" s="13"/>
      <c r="BY55" s="12"/>
      <c r="BZ55" s="12"/>
      <c r="CA55" s="13"/>
      <c r="CB55" s="14"/>
      <c r="CC55" s="14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2"/>
      <c r="DY55" s="12"/>
      <c r="DZ55" s="13"/>
      <c r="EA55" s="12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2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2"/>
      <c r="GD55" s="12"/>
      <c r="GE55" s="13"/>
      <c r="GF55" s="12"/>
      <c r="GG55" s="12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2"/>
      <c r="GT55" s="12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</row>
    <row r="56" ht="15.75" customHeight="1">
      <c r="A56" s="1"/>
      <c r="D56" s="9"/>
      <c r="G56" s="9"/>
      <c r="J56" s="9"/>
      <c r="M56" s="9"/>
      <c r="P56" s="9"/>
      <c r="V56" s="9"/>
      <c r="Y56" s="9"/>
      <c r="AB56" s="9"/>
      <c r="AE56" s="9"/>
      <c r="AH56" s="9"/>
      <c r="AI56" s="10"/>
      <c r="AK56" s="9"/>
      <c r="AL56" s="12"/>
      <c r="AM56" s="12"/>
      <c r="AN56" s="13"/>
      <c r="AO56" s="14"/>
      <c r="AP56" s="14"/>
      <c r="AQ56" s="13"/>
      <c r="AR56" s="13"/>
      <c r="AS56" s="13"/>
      <c r="AT56" s="13"/>
      <c r="AU56" s="13"/>
      <c r="AV56" s="13"/>
      <c r="AW56" s="13"/>
      <c r="AX56" s="15"/>
      <c r="AY56" s="15"/>
      <c r="AZ56" s="13"/>
      <c r="BA56" s="12"/>
      <c r="BB56" s="12"/>
      <c r="BC56" s="13"/>
      <c r="BD56" s="13"/>
      <c r="BE56" s="13"/>
      <c r="BF56" s="13"/>
      <c r="BG56" s="13"/>
      <c r="BH56" s="14"/>
      <c r="BI56" s="13"/>
      <c r="BJ56" s="14"/>
      <c r="BK56" s="14"/>
      <c r="BL56" s="13"/>
      <c r="BM56" s="11"/>
      <c r="BN56" s="11"/>
      <c r="BO56" s="13"/>
      <c r="BP56" s="12"/>
      <c r="BQ56" s="12"/>
      <c r="BR56" s="13"/>
      <c r="BS56" s="13"/>
      <c r="BT56" s="13"/>
      <c r="BU56" s="13"/>
      <c r="BV56" s="14"/>
      <c r="BW56" s="14"/>
      <c r="BX56" s="13"/>
      <c r="BY56" s="12"/>
      <c r="BZ56" s="12"/>
      <c r="CA56" s="13"/>
      <c r="CB56" s="14"/>
      <c r="CC56" s="14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2"/>
      <c r="DY56" s="12"/>
      <c r="DZ56" s="13"/>
      <c r="EA56" s="12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2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2"/>
      <c r="GD56" s="12"/>
      <c r="GE56" s="13"/>
      <c r="GF56" s="12"/>
      <c r="GG56" s="12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2"/>
      <c r="GT56" s="12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</row>
    <row r="57" ht="15.75" customHeight="1">
      <c r="A57" s="1"/>
      <c r="D57" s="9"/>
      <c r="G57" s="9"/>
      <c r="J57" s="9"/>
      <c r="M57" s="9"/>
      <c r="P57" s="9"/>
      <c r="V57" s="9"/>
      <c r="Y57" s="9"/>
      <c r="AB57" s="9"/>
      <c r="AE57" s="9"/>
      <c r="AH57" s="9"/>
      <c r="AI57" s="10"/>
      <c r="AK57" s="9"/>
      <c r="AL57" s="12"/>
      <c r="AM57" s="12"/>
      <c r="AN57" s="13"/>
      <c r="AO57" s="14"/>
      <c r="AP57" s="14"/>
      <c r="AQ57" s="13"/>
      <c r="AR57" s="13"/>
      <c r="AS57" s="13"/>
      <c r="AT57" s="13"/>
      <c r="AU57" s="13"/>
      <c r="AV57" s="13"/>
      <c r="AW57" s="13"/>
      <c r="AX57" s="15"/>
      <c r="AY57" s="15"/>
      <c r="AZ57" s="13"/>
      <c r="BA57" s="12"/>
      <c r="BB57" s="12"/>
      <c r="BC57" s="13"/>
      <c r="BD57" s="13"/>
      <c r="BE57" s="13"/>
      <c r="BF57" s="13"/>
      <c r="BG57" s="13"/>
      <c r="BH57" s="14"/>
      <c r="BI57" s="13"/>
      <c r="BJ57" s="14"/>
      <c r="BK57" s="14"/>
      <c r="BL57" s="13"/>
      <c r="BM57" s="11"/>
      <c r="BN57" s="11"/>
      <c r="BO57" s="13"/>
      <c r="BP57" s="12"/>
      <c r="BQ57" s="12"/>
      <c r="BR57" s="13"/>
      <c r="BS57" s="13"/>
      <c r="BT57" s="13"/>
      <c r="BU57" s="13"/>
      <c r="BV57" s="14"/>
      <c r="BW57" s="14"/>
      <c r="BX57" s="13"/>
      <c r="BY57" s="12"/>
      <c r="BZ57" s="12"/>
      <c r="CA57" s="13"/>
      <c r="CB57" s="14"/>
      <c r="CC57" s="14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2"/>
      <c r="DY57" s="12"/>
      <c r="DZ57" s="13"/>
      <c r="EA57" s="12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2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2"/>
      <c r="GD57" s="12"/>
      <c r="GE57" s="13"/>
      <c r="GF57" s="12"/>
      <c r="GG57" s="12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2"/>
      <c r="GT57" s="12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</row>
    <row r="58" ht="15.75" customHeight="1">
      <c r="A58" s="1"/>
      <c r="D58" s="9"/>
      <c r="G58" s="9"/>
      <c r="J58" s="9"/>
      <c r="M58" s="9"/>
      <c r="P58" s="9"/>
      <c r="V58" s="9"/>
      <c r="Y58" s="9"/>
      <c r="AB58" s="9"/>
      <c r="AE58" s="9"/>
      <c r="AH58" s="9"/>
      <c r="AI58" s="10"/>
      <c r="AK58" s="9"/>
      <c r="AL58" s="12"/>
      <c r="AM58" s="12"/>
      <c r="AN58" s="13"/>
      <c r="AO58" s="14"/>
      <c r="AP58" s="14"/>
      <c r="AQ58" s="13"/>
      <c r="AR58" s="13"/>
      <c r="AS58" s="13"/>
      <c r="AT58" s="13"/>
      <c r="AU58" s="13"/>
      <c r="AV58" s="13"/>
      <c r="AW58" s="13"/>
      <c r="AX58" s="15"/>
      <c r="AY58" s="15"/>
      <c r="AZ58" s="13"/>
      <c r="BA58" s="12"/>
      <c r="BB58" s="12"/>
      <c r="BC58" s="13"/>
      <c r="BD58" s="13"/>
      <c r="BE58" s="13"/>
      <c r="BF58" s="13"/>
      <c r="BG58" s="13"/>
      <c r="BH58" s="14"/>
      <c r="BI58" s="13"/>
      <c r="BJ58" s="14"/>
      <c r="BK58" s="14"/>
      <c r="BL58" s="13"/>
      <c r="BM58" s="11"/>
      <c r="BN58" s="11"/>
      <c r="BO58" s="13"/>
      <c r="BP58" s="12"/>
      <c r="BQ58" s="12"/>
      <c r="BR58" s="13"/>
      <c r="BS58" s="13"/>
      <c r="BT58" s="13"/>
      <c r="BU58" s="13"/>
      <c r="BV58" s="14"/>
      <c r="BW58" s="14"/>
      <c r="BX58" s="13"/>
      <c r="BY58" s="12"/>
      <c r="BZ58" s="12"/>
      <c r="CA58" s="13"/>
      <c r="CB58" s="14"/>
      <c r="CC58" s="14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2"/>
      <c r="DY58" s="12"/>
      <c r="DZ58" s="13"/>
      <c r="EA58" s="12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2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2"/>
      <c r="GD58" s="12"/>
      <c r="GE58" s="13"/>
      <c r="GF58" s="12"/>
      <c r="GG58" s="12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2"/>
      <c r="GT58" s="12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</row>
    <row r="59" ht="15.75" customHeight="1">
      <c r="A59" s="1"/>
      <c r="D59" s="9"/>
      <c r="G59" s="9"/>
      <c r="J59" s="9"/>
      <c r="M59" s="9"/>
      <c r="P59" s="9"/>
      <c r="V59" s="9"/>
      <c r="Y59" s="9"/>
      <c r="AB59" s="9"/>
      <c r="AE59" s="9"/>
      <c r="AH59" s="9"/>
      <c r="AI59" s="10"/>
      <c r="AK59" s="9"/>
      <c r="AO59" s="23"/>
      <c r="AP59" s="23"/>
      <c r="AX59" s="24"/>
      <c r="AY59" s="24"/>
      <c r="BA59" s="8"/>
      <c r="BB59" s="8"/>
      <c r="BH59" s="23"/>
      <c r="BJ59" s="23"/>
      <c r="BK59" s="23"/>
      <c r="BM59" s="10"/>
      <c r="BN59" s="10"/>
      <c r="BP59" s="8"/>
      <c r="BQ59" s="8"/>
      <c r="BV59" s="23"/>
      <c r="BW59" s="23"/>
      <c r="BY59" s="8"/>
      <c r="BZ59" s="8"/>
      <c r="CA59" s="9"/>
      <c r="CB59" s="23"/>
      <c r="CC59" s="23"/>
      <c r="CD59" s="9"/>
      <c r="CG59" s="9"/>
      <c r="CJ59" s="9"/>
      <c r="CM59" s="9"/>
      <c r="CP59" s="9"/>
      <c r="CS59" s="9"/>
      <c r="CV59" s="9"/>
      <c r="CY59" s="9"/>
      <c r="DB59" s="9"/>
      <c r="DE59" s="9"/>
      <c r="DH59" s="9"/>
      <c r="DK59" s="9"/>
      <c r="DN59" s="9"/>
      <c r="DQ59" s="9"/>
      <c r="DT59" s="9"/>
      <c r="DW59" s="9"/>
      <c r="DX59" s="8"/>
      <c r="DY59" s="8"/>
      <c r="DZ59" s="9"/>
      <c r="EA59" s="8"/>
      <c r="EC59" s="9"/>
      <c r="EF59" s="9"/>
      <c r="EI59" s="9"/>
      <c r="EL59" s="9"/>
      <c r="EO59" s="9"/>
      <c r="ER59" s="9"/>
      <c r="EU59" s="9"/>
      <c r="EX59" s="9"/>
      <c r="FA59" s="9"/>
      <c r="FD59" s="9"/>
      <c r="FG59" s="9"/>
      <c r="FJ59" s="9"/>
      <c r="FK59" s="8"/>
      <c r="FM59" s="9"/>
      <c r="FP59" s="9"/>
      <c r="FS59" s="9"/>
      <c r="FY59" s="9"/>
      <c r="GC59" s="8"/>
      <c r="GD59" s="8"/>
      <c r="GE59" s="9"/>
      <c r="GF59" s="8"/>
      <c r="GG59" s="8"/>
      <c r="GH59" s="9"/>
      <c r="GK59" s="9"/>
      <c r="GS59" s="8"/>
      <c r="GT59" s="8"/>
      <c r="HC59" s="9"/>
    </row>
    <row r="60" ht="15.75" customHeight="1">
      <c r="A60" s="1"/>
      <c r="D60" s="9"/>
      <c r="G60" s="9"/>
      <c r="J60" s="9"/>
      <c r="M60" s="9"/>
      <c r="P60" s="9"/>
      <c r="V60" s="9"/>
      <c r="Y60" s="9"/>
      <c r="AB60" s="9"/>
      <c r="AE60" s="9"/>
      <c r="AH60" s="9"/>
      <c r="AI60" s="10"/>
      <c r="AK60" s="9"/>
      <c r="AO60" s="23"/>
      <c r="AP60" s="23"/>
      <c r="AX60" s="24"/>
      <c r="AY60" s="24"/>
      <c r="BA60" s="8"/>
      <c r="BB60" s="8"/>
      <c r="BH60" s="23"/>
      <c r="BJ60" s="23"/>
      <c r="BK60" s="23"/>
      <c r="BM60" s="10"/>
      <c r="BN60" s="10"/>
      <c r="BP60" s="8"/>
      <c r="BQ60" s="8"/>
      <c r="BV60" s="23"/>
      <c r="BW60" s="23"/>
      <c r="BY60" s="8"/>
      <c r="BZ60" s="8"/>
      <c r="CA60" s="9"/>
      <c r="CB60" s="23"/>
      <c r="CC60" s="23"/>
      <c r="CD60" s="9"/>
      <c r="CG60" s="9"/>
      <c r="CJ60" s="9"/>
      <c r="CM60" s="9"/>
      <c r="CP60" s="9"/>
      <c r="CS60" s="9"/>
      <c r="CV60" s="9"/>
      <c r="CY60" s="9"/>
      <c r="DB60" s="9"/>
      <c r="DE60" s="9"/>
      <c r="DH60" s="9"/>
      <c r="DK60" s="9"/>
      <c r="DN60" s="9"/>
      <c r="DQ60" s="9"/>
      <c r="DT60" s="9"/>
      <c r="DW60" s="9"/>
      <c r="DX60" s="8"/>
      <c r="DY60" s="8"/>
      <c r="DZ60" s="9"/>
      <c r="EA60" s="8"/>
      <c r="EC60" s="9"/>
      <c r="EF60" s="9"/>
      <c r="EI60" s="9"/>
      <c r="EL60" s="9"/>
      <c r="EO60" s="9"/>
      <c r="ER60" s="9"/>
      <c r="EU60" s="9"/>
      <c r="EX60" s="9"/>
      <c r="FA60" s="9"/>
      <c r="FD60" s="9"/>
      <c r="FG60" s="9"/>
      <c r="FJ60" s="9"/>
      <c r="FK60" s="8"/>
      <c r="FM60" s="9"/>
      <c r="FP60" s="9"/>
      <c r="FS60" s="9"/>
      <c r="FY60" s="9"/>
      <c r="GC60" s="8"/>
      <c r="GD60" s="8"/>
      <c r="GE60" s="9"/>
      <c r="GF60" s="8"/>
      <c r="GG60" s="8"/>
      <c r="GH60" s="9"/>
      <c r="GK60" s="9"/>
      <c r="GS60" s="8"/>
      <c r="GT60" s="8"/>
      <c r="HC60" s="9"/>
    </row>
    <row r="61" ht="15.75" customHeight="1">
      <c r="A61" s="1"/>
      <c r="D61" s="9"/>
      <c r="G61" s="9"/>
      <c r="J61" s="9"/>
      <c r="M61" s="9"/>
      <c r="P61" s="9"/>
      <c r="V61" s="9"/>
      <c r="Y61" s="9"/>
      <c r="AB61" s="9"/>
      <c r="AE61" s="9"/>
      <c r="AH61" s="9"/>
      <c r="AI61" s="10"/>
      <c r="AK61" s="9"/>
      <c r="AO61" s="23"/>
      <c r="AP61" s="23"/>
      <c r="AX61" s="24"/>
      <c r="AY61" s="24"/>
      <c r="BA61" s="8"/>
      <c r="BB61" s="8"/>
      <c r="BH61" s="23"/>
      <c r="BJ61" s="23"/>
      <c r="BK61" s="23"/>
      <c r="BM61" s="10"/>
      <c r="BN61" s="10"/>
      <c r="BP61" s="8"/>
      <c r="BQ61" s="8"/>
      <c r="BV61" s="23"/>
      <c r="BW61" s="23"/>
      <c r="BY61" s="8"/>
      <c r="BZ61" s="8"/>
      <c r="CA61" s="9"/>
      <c r="CB61" s="23"/>
      <c r="CC61" s="23"/>
      <c r="CD61" s="9"/>
      <c r="CG61" s="9"/>
      <c r="CJ61" s="9"/>
      <c r="CM61" s="9"/>
      <c r="CP61" s="9"/>
      <c r="CS61" s="9"/>
      <c r="CV61" s="9"/>
      <c r="CY61" s="9"/>
      <c r="DB61" s="9"/>
      <c r="DE61" s="9"/>
      <c r="DH61" s="9"/>
      <c r="DK61" s="9"/>
      <c r="DN61" s="9"/>
      <c r="DQ61" s="9"/>
      <c r="DT61" s="9"/>
      <c r="DW61" s="9"/>
      <c r="DX61" s="8"/>
      <c r="DY61" s="8"/>
      <c r="DZ61" s="9"/>
      <c r="EA61" s="8"/>
      <c r="EC61" s="9"/>
      <c r="EF61" s="9"/>
      <c r="EI61" s="9"/>
      <c r="EL61" s="9"/>
      <c r="EO61" s="9"/>
      <c r="ER61" s="9"/>
      <c r="EU61" s="9"/>
      <c r="EX61" s="9"/>
      <c r="FA61" s="9"/>
      <c r="FD61" s="9"/>
      <c r="FG61" s="9"/>
      <c r="FJ61" s="9"/>
      <c r="FK61" s="8"/>
      <c r="FM61" s="9"/>
      <c r="FP61" s="9"/>
      <c r="FS61" s="9"/>
      <c r="FY61" s="9"/>
      <c r="GC61" s="8"/>
      <c r="GD61" s="8"/>
      <c r="GE61" s="9"/>
      <c r="GF61" s="8"/>
      <c r="GG61" s="8"/>
      <c r="GH61" s="9"/>
      <c r="GK61" s="9"/>
      <c r="GS61" s="8"/>
      <c r="GT61" s="8"/>
      <c r="HC61" s="9"/>
    </row>
    <row r="62" ht="15.75" customHeight="1">
      <c r="A62" s="1"/>
      <c r="D62" s="9"/>
      <c r="G62" s="9"/>
      <c r="J62" s="9"/>
      <c r="M62" s="9"/>
      <c r="P62" s="9"/>
      <c r="V62" s="9"/>
      <c r="Y62" s="9"/>
      <c r="AB62" s="9"/>
      <c r="AE62" s="9"/>
      <c r="AH62" s="9"/>
      <c r="AI62" s="10"/>
      <c r="AK62" s="9"/>
      <c r="AO62" s="23"/>
      <c r="AP62" s="23"/>
      <c r="AX62" s="24"/>
      <c r="AY62" s="24"/>
      <c r="BA62" s="8"/>
      <c r="BB62" s="8"/>
      <c r="BH62" s="23"/>
      <c r="BJ62" s="23"/>
      <c r="BK62" s="23"/>
      <c r="BM62" s="10"/>
      <c r="BN62" s="10"/>
      <c r="BP62" s="8"/>
      <c r="BQ62" s="8"/>
      <c r="BV62" s="23"/>
      <c r="BW62" s="23"/>
      <c r="BY62" s="8"/>
      <c r="BZ62" s="8"/>
      <c r="CA62" s="9"/>
      <c r="CB62" s="23"/>
      <c r="CC62" s="23"/>
      <c r="CD62" s="9"/>
      <c r="CG62" s="9"/>
      <c r="CJ62" s="9"/>
      <c r="CM62" s="9"/>
      <c r="CP62" s="9"/>
      <c r="CS62" s="9"/>
      <c r="CV62" s="9"/>
      <c r="CY62" s="9"/>
      <c r="DB62" s="9"/>
      <c r="DE62" s="9"/>
      <c r="DH62" s="9"/>
      <c r="DK62" s="9"/>
      <c r="DN62" s="9"/>
      <c r="DQ62" s="9"/>
      <c r="DT62" s="9"/>
      <c r="DW62" s="9"/>
      <c r="DX62" s="8"/>
      <c r="DY62" s="8"/>
      <c r="DZ62" s="9"/>
      <c r="EA62" s="8"/>
      <c r="EC62" s="9"/>
      <c r="EF62" s="9"/>
      <c r="EI62" s="9"/>
      <c r="EL62" s="9"/>
      <c r="EO62" s="9"/>
      <c r="ER62" s="9"/>
      <c r="EU62" s="9"/>
      <c r="EX62" s="9"/>
      <c r="FA62" s="9"/>
      <c r="FD62" s="9"/>
      <c r="FG62" s="9"/>
      <c r="FJ62" s="9"/>
      <c r="FK62" s="8"/>
      <c r="FM62" s="9"/>
      <c r="FP62" s="9"/>
      <c r="FS62" s="9"/>
      <c r="FY62" s="9"/>
      <c r="GC62" s="8"/>
      <c r="GD62" s="8"/>
      <c r="GE62" s="9"/>
      <c r="GF62" s="8"/>
      <c r="GG62" s="8"/>
      <c r="GH62" s="9"/>
      <c r="GK62" s="9"/>
      <c r="GS62" s="8"/>
      <c r="GT62" s="8"/>
      <c r="HC62" s="9"/>
    </row>
    <row r="63" ht="15.75" customHeight="1">
      <c r="A63" s="1"/>
      <c r="D63" s="9"/>
      <c r="G63" s="9"/>
      <c r="J63" s="9"/>
      <c r="M63" s="9"/>
      <c r="P63" s="9"/>
      <c r="V63" s="9"/>
      <c r="Y63" s="9"/>
      <c r="AB63" s="9"/>
      <c r="AE63" s="9"/>
      <c r="AH63" s="9"/>
      <c r="AI63" s="10"/>
      <c r="AK63" s="9"/>
      <c r="AO63" s="23"/>
      <c r="AP63" s="23"/>
      <c r="AX63" s="24"/>
      <c r="AY63" s="24"/>
      <c r="BA63" s="8"/>
      <c r="BB63" s="8"/>
      <c r="BH63" s="23"/>
      <c r="BJ63" s="23"/>
      <c r="BK63" s="23"/>
      <c r="BM63" s="10"/>
      <c r="BN63" s="10"/>
      <c r="BP63" s="8"/>
      <c r="BQ63" s="8"/>
      <c r="BV63" s="23"/>
      <c r="BW63" s="23"/>
      <c r="BY63" s="8"/>
      <c r="BZ63" s="8"/>
      <c r="CA63" s="9"/>
      <c r="CB63" s="23"/>
      <c r="CC63" s="23"/>
      <c r="CD63" s="9"/>
      <c r="CG63" s="9"/>
      <c r="CJ63" s="9"/>
      <c r="CM63" s="9"/>
      <c r="CP63" s="9"/>
      <c r="CS63" s="9"/>
      <c r="CV63" s="9"/>
      <c r="CY63" s="9"/>
      <c r="DB63" s="9"/>
      <c r="DE63" s="9"/>
      <c r="DH63" s="9"/>
      <c r="DK63" s="9"/>
      <c r="DN63" s="9"/>
      <c r="DQ63" s="9"/>
      <c r="DT63" s="9"/>
      <c r="DW63" s="9"/>
      <c r="DX63" s="8"/>
      <c r="DY63" s="8"/>
      <c r="DZ63" s="9"/>
      <c r="EA63" s="8"/>
      <c r="EC63" s="9"/>
      <c r="EF63" s="9"/>
      <c r="EI63" s="9"/>
      <c r="EL63" s="9"/>
      <c r="EO63" s="9"/>
      <c r="ER63" s="9"/>
      <c r="EU63" s="9"/>
      <c r="EX63" s="9"/>
      <c r="FA63" s="9"/>
      <c r="FD63" s="9"/>
      <c r="FG63" s="9"/>
      <c r="FJ63" s="9"/>
      <c r="FK63" s="8"/>
      <c r="FM63" s="9"/>
      <c r="FP63" s="9"/>
      <c r="FS63" s="9"/>
      <c r="FY63" s="9"/>
      <c r="GC63" s="8"/>
      <c r="GD63" s="8"/>
      <c r="GE63" s="9"/>
      <c r="GF63" s="8"/>
      <c r="GG63" s="8"/>
      <c r="GH63" s="9"/>
      <c r="GK63" s="9"/>
      <c r="GS63" s="8"/>
      <c r="GT63" s="8"/>
      <c r="HC63" s="9"/>
    </row>
    <row r="64" ht="15.75" customHeight="1">
      <c r="A64" s="1"/>
      <c r="D64" s="9"/>
      <c r="G64" s="9"/>
      <c r="J64" s="9"/>
      <c r="M64" s="9"/>
      <c r="P64" s="9"/>
      <c r="V64" s="9"/>
      <c r="Y64" s="9"/>
      <c r="AB64" s="9"/>
      <c r="AE64" s="9"/>
      <c r="AH64" s="9"/>
      <c r="AI64" s="10"/>
      <c r="AK64" s="9"/>
      <c r="AO64" s="23"/>
      <c r="AP64" s="23"/>
      <c r="AX64" s="24"/>
      <c r="AY64" s="24"/>
      <c r="BA64" s="8"/>
      <c r="BB64" s="8"/>
      <c r="BH64" s="23"/>
      <c r="BJ64" s="23"/>
      <c r="BK64" s="23"/>
      <c r="BM64" s="10"/>
      <c r="BN64" s="10"/>
      <c r="BP64" s="8"/>
      <c r="BQ64" s="8"/>
      <c r="BV64" s="23"/>
      <c r="BW64" s="23"/>
      <c r="BY64" s="8"/>
      <c r="BZ64" s="8"/>
      <c r="CA64" s="9"/>
      <c r="CB64" s="23"/>
      <c r="CC64" s="23"/>
      <c r="CD64" s="9"/>
      <c r="CG64" s="9"/>
      <c r="CJ64" s="9"/>
      <c r="CM64" s="9"/>
      <c r="CP64" s="9"/>
      <c r="CS64" s="9"/>
      <c r="CV64" s="9"/>
      <c r="CY64" s="9"/>
      <c r="DB64" s="9"/>
      <c r="DE64" s="9"/>
      <c r="DH64" s="9"/>
      <c r="DK64" s="9"/>
      <c r="DN64" s="9"/>
      <c r="DQ64" s="9"/>
      <c r="DT64" s="9"/>
      <c r="DW64" s="9"/>
      <c r="DX64" s="8"/>
      <c r="DY64" s="8"/>
      <c r="DZ64" s="9"/>
      <c r="EA64" s="8"/>
      <c r="EC64" s="9"/>
      <c r="EF64" s="9"/>
      <c r="EI64" s="9"/>
      <c r="EL64" s="9"/>
      <c r="EO64" s="9"/>
      <c r="ER64" s="9"/>
      <c r="EU64" s="9"/>
      <c r="EX64" s="9"/>
      <c r="FA64" s="9"/>
      <c r="FD64" s="9"/>
      <c r="FG64" s="9"/>
      <c r="FJ64" s="9"/>
      <c r="FK64" s="8"/>
      <c r="FM64" s="9"/>
      <c r="FP64" s="9"/>
      <c r="FS64" s="9"/>
      <c r="FY64" s="9"/>
      <c r="GC64" s="8"/>
      <c r="GD64" s="8"/>
      <c r="GE64" s="9"/>
      <c r="GF64" s="8"/>
      <c r="GG64" s="8"/>
      <c r="GH64" s="9"/>
      <c r="GK64" s="9"/>
      <c r="GS64" s="8"/>
      <c r="GT64" s="8"/>
      <c r="HC64" s="9"/>
    </row>
    <row r="65" ht="15.75" customHeight="1">
      <c r="A65" s="1"/>
      <c r="D65" s="9"/>
      <c r="G65" s="9"/>
      <c r="J65" s="9"/>
      <c r="M65" s="9"/>
      <c r="P65" s="9"/>
      <c r="V65" s="9"/>
      <c r="Y65" s="9"/>
      <c r="AB65" s="9"/>
      <c r="AE65" s="9"/>
      <c r="AH65" s="9"/>
      <c r="AI65" s="10"/>
      <c r="AK65" s="9"/>
      <c r="AO65" s="23"/>
      <c r="AP65" s="23"/>
      <c r="AX65" s="24"/>
      <c r="AY65" s="24"/>
      <c r="BA65" s="8"/>
      <c r="BB65" s="8"/>
      <c r="BH65" s="23"/>
      <c r="BJ65" s="23"/>
      <c r="BK65" s="23"/>
      <c r="BM65" s="10"/>
      <c r="BN65" s="10"/>
      <c r="BP65" s="8"/>
      <c r="BQ65" s="8"/>
      <c r="BV65" s="23"/>
      <c r="BW65" s="23"/>
      <c r="BY65" s="8"/>
      <c r="BZ65" s="8"/>
      <c r="CA65" s="9"/>
      <c r="CB65" s="23"/>
      <c r="CC65" s="23"/>
      <c r="CD65" s="9"/>
      <c r="CG65" s="9"/>
      <c r="CJ65" s="9"/>
      <c r="CM65" s="9"/>
      <c r="CP65" s="9"/>
      <c r="CS65" s="9"/>
      <c r="CV65" s="9"/>
      <c r="CY65" s="9"/>
      <c r="DB65" s="9"/>
      <c r="DE65" s="9"/>
      <c r="DH65" s="9"/>
      <c r="DK65" s="9"/>
      <c r="DN65" s="9"/>
      <c r="DQ65" s="9"/>
      <c r="DT65" s="9"/>
      <c r="DW65" s="9"/>
      <c r="DX65" s="8"/>
      <c r="DY65" s="8"/>
      <c r="DZ65" s="9"/>
      <c r="EA65" s="8"/>
      <c r="EC65" s="9"/>
      <c r="EF65" s="9"/>
      <c r="EI65" s="9"/>
      <c r="EL65" s="9"/>
      <c r="EO65" s="9"/>
      <c r="ER65" s="9"/>
      <c r="EU65" s="9"/>
      <c r="EX65" s="9"/>
      <c r="FA65" s="9"/>
      <c r="FD65" s="9"/>
      <c r="FG65" s="9"/>
      <c r="FJ65" s="9"/>
      <c r="FK65" s="8"/>
      <c r="FM65" s="9"/>
      <c r="FP65" s="9"/>
      <c r="FS65" s="9"/>
      <c r="FY65" s="9"/>
      <c r="GC65" s="8"/>
      <c r="GD65" s="8"/>
      <c r="GE65" s="9"/>
      <c r="GF65" s="8"/>
      <c r="GG65" s="8"/>
      <c r="GH65" s="9"/>
      <c r="GK65" s="9"/>
      <c r="GS65" s="8"/>
      <c r="GT65" s="8"/>
      <c r="HC65" s="9"/>
    </row>
    <row r="66" ht="15.75" customHeight="1">
      <c r="A66" s="1"/>
      <c r="D66" s="9"/>
      <c r="G66" s="9"/>
      <c r="J66" s="9"/>
      <c r="M66" s="9"/>
      <c r="P66" s="9"/>
      <c r="V66" s="9"/>
      <c r="Y66" s="9"/>
      <c r="AB66" s="9"/>
      <c r="AE66" s="9"/>
      <c r="AH66" s="9"/>
      <c r="AI66" s="10"/>
      <c r="AK66" s="9"/>
      <c r="AO66" s="23"/>
      <c r="AP66" s="23"/>
      <c r="AX66" s="24"/>
      <c r="AY66" s="24"/>
      <c r="BA66" s="8"/>
      <c r="BB66" s="8"/>
      <c r="BH66" s="23"/>
      <c r="BJ66" s="23"/>
      <c r="BK66" s="23"/>
      <c r="BM66" s="10"/>
      <c r="BN66" s="10"/>
      <c r="BP66" s="8"/>
      <c r="BQ66" s="8"/>
      <c r="BV66" s="23"/>
      <c r="BW66" s="23"/>
      <c r="BY66" s="8"/>
      <c r="BZ66" s="8"/>
      <c r="CA66" s="9"/>
      <c r="CB66" s="23"/>
      <c r="CC66" s="23"/>
      <c r="CD66" s="9"/>
      <c r="CG66" s="9"/>
      <c r="CJ66" s="9"/>
      <c r="CM66" s="9"/>
      <c r="CP66" s="9"/>
      <c r="CS66" s="9"/>
      <c r="CV66" s="9"/>
      <c r="CY66" s="9"/>
      <c r="DB66" s="9"/>
      <c r="DE66" s="9"/>
      <c r="DH66" s="9"/>
      <c r="DK66" s="9"/>
      <c r="DN66" s="9"/>
      <c r="DQ66" s="9"/>
      <c r="DT66" s="9"/>
      <c r="DW66" s="9"/>
      <c r="DX66" s="8"/>
      <c r="DY66" s="8"/>
      <c r="DZ66" s="9"/>
      <c r="EA66" s="8"/>
      <c r="EC66" s="9"/>
      <c r="EF66" s="9"/>
      <c r="EI66" s="9"/>
      <c r="EL66" s="9"/>
      <c r="EO66" s="9"/>
      <c r="ER66" s="9"/>
      <c r="EU66" s="9"/>
      <c r="EX66" s="9"/>
      <c r="FA66" s="9"/>
      <c r="FD66" s="9"/>
      <c r="FG66" s="9"/>
      <c r="FJ66" s="9"/>
      <c r="FK66" s="8"/>
      <c r="FM66" s="9"/>
      <c r="FP66" s="9"/>
      <c r="FS66" s="9"/>
      <c r="FY66" s="9"/>
      <c r="GC66" s="8"/>
      <c r="GD66" s="8"/>
      <c r="GE66" s="9"/>
      <c r="GF66" s="8"/>
      <c r="GG66" s="8"/>
      <c r="GH66" s="9"/>
      <c r="GK66" s="9"/>
      <c r="GS66" s="8"/>
      <c r="GT66" s="8"/>
      <c r="HC66" s="9"/>
    </row>
    <row r="67" ht="15.75" customHeight="1">
      <c r="A67" s="1"/>
      <c r="D67" s="9"/>
      <c r="G67" s="9"/>
      <c r="J67" s="9"/>
      <c r="M67" s="9"/>
      <c r="P67" s="9"/>
      <c r="V67" s="9"/>
      <c r="Y67" s="9"/>
      <c r="AB67" s="9"/>
      <c r="AE67" s="9"/>
      <c r="AH67" s="9"/>
      <c r="AI67" s="10"/>
      <c r="AK67" s="9"/>
      <c r="AO67" s="23"/>
      <c r="AP67" s="23"/>
      <c r="AX67" s="24"/>
      <c r="AY67" s="24"/>
      <c r="BA67" s="8"/>
      <c r="BB67" s="8"/>
      <c r="BH67" s="23"/>
      <c r="BJ67" s="23"/>
      <c r="BK67" s="23"/>
      <c r="BM67" s="10"/>
      <c r="BN67" s="10"/>
      <c r="BP67" s="8"/>
      <c r="BQ67" s="8"/>
      <c r="BV67" s="23"/>
      <c r="BW67" s="23"/>
      <c r="BY67" s="8"/>
      <c r="BZ67" s="8"/>
      <c r="CA67" s="9"/>
      <c r="CB67" s="23"/>
      <c r="CC67" s="23"/>
      <c r="CD67" s="9"/>
      <c r="CG67" s="9"/>
      <c r="CJ67" s="9"/>
      <c r="CM67" s="9"/>
      <c r="CP67" s="9"/>
      <c r="CS67" s="9"/>
      <c r="CV67" s="9"/>
      <c r="CY67" s="9"/>
      <c r="DB67" s="9"/>
      <c r="DE67" s="9"/>
      <c r="DH67" s="9"/>
      <c r="DK67" s="9"/>
      <c r="DN67" s="9"/>
      <c r="DQ67" s="9"/>
      <c r="DT67" s="9"/>
      <c r="DW67" s="9"/>
      <c r="DX67" s="8"/>
      <c r="DY67" s="8"/>
      <c r="DZ67" s="9"/>
      <c r="EA67" s="8"/>
      <c r="EC67" s="9"/>
      <c r="EF67" s="9"/>
      <c r="EI67" s="9"/>
      <c r="EL67" s="9"/>
      <c r="EO67" s="9"/>
      <c r="ER67" s="9"/>
      <c r="EU67" s="9"/>
      <c r="EX67" s="9"/>
      <c r="FA67" s="9"/>
      <c r="FD67" s="9"/>
      <c r="FG67" s="9"/>
      <c r="FJ67" s="9"/>
      <c r="FK67" s="8"/>
      <c r="FM67" s="9"/>
      <c r="FP67" s="9"/>
      <c r="FS67" s="9"/>
      <c r="FY67" s="9"/>
      <c r="GC67" s="8"/>
      <c r="GD67" s="8"/>
      <c r="GE67" s="9"/>
      <c r="GF67" s="8"/>
      <c r="GG67" s="8"/>
      <c r="GH67" s="9"/>
      <c r="GK67" s="9"/>
      <c r="GS67" s="8"/>
      <c r="GT67" s="8"/>
      <c r="HC67" s="9"/>
    </row>
    <row r="68" ht="15.75" customHeight="1">
      <c r="A68" s="1"/>
      <c r="D68" s="9"/>
      <c r="G68" s="9"/>
      <c r="J68" s="9"/>
      <c r="M68" s="9"/>
      <c r="P68" s="9"/>
      <c r="V68" s="9"/>
      <c r="Y68" s="9"/>
      <c r="AB68" s="9"/>
      <c r="AE68" s="9"/>
      <c r="AH68" s="9"/>
      <c r="AI68" s="10"/>
      <c r="AK68" s="9"/>
      <c r="AO68" s="23"/>
      <c r="AP68" s="23"/>
      <c r="AX68" s="24"/>
      <c r="AY68" s="24"/>
      <c r="BA68" s="8"/>
      <c r="BB68" s="8"/>
      <c r="BH68" s="23"/>
      <c r="BJ68" s="23"/>
      <c r="BK68" s="23"/>
      <c r="BM68" s="10"/>
      <c r="BN68" s="10"/>
      <c r="BP68" s="8"/>
      <c r="BQ68" s="8"/>
      <c r="BV68" s="23"/>
      <c r="BW68" s="23"/>
      <c r="BY68" s="8"/>
      <c r="BZ68" s="8"/>
      <c r="CA68" s="9"/>
      <c r="CB68" s="23"/>
      <c r="CC68" s="23"/>
      <c r="CD68" s="9"/>
      <c r="CG68" s="9"/>
      <c r="CJ68" s="9"/>
      <c r="CM68" s="9"/>
      <c r="CP68" s="9"/>
      <c r="CS68" s="9"/>
      <c r="CV68" s="9"/>
      <c r="CY68" s="9"/>
      <c r="DB68" s="9"/>
      <c r="DE68" s="9"/>
      <c r="DH68" s="9"/>
      <c r="DK68" s="9"/>
      <c r="DN68" s="9"/>
      <c r="DQ68" s="9"/>
      <c r="DT68" s="9"/>
      <c r="DW68" s="9"/>
      <c r="DX68" s="8"/>
      <c r="DY68" s="8"/>
      <c r="DZ68" s="9"/>
      <c r="EA68" s="8"/>
      <c r="EC68" s="9"/>
      <c r="EF68" s="9"/>
      <c r="EI68" s="9"/>
      <c r="EL68" s="9"/>
      <c r="EO68" s="9"/>
      <c r="ER68" s="9"/>
      <c r="EU68" s="9"/>
      <c r="EX68" s="9"/>
      <c r="FA68" s="9"/>
      <c r="FD68" s="9"/>
      <c r="FG68" s="9"/>
      <c r="FJ68" s="9"/>
      <c r="FK68" s="8"/>
      <c r="FM68" s="9"/>
      <c r="FP68" s="9"/>
      <c r="FS68" s="9"/>
      <c r="FY68" s="9"/>
      <c r="GC68" s="8"/>
      <c r="GD68" s="8"/>
      <c r="GE68" s="9"/>
      <c r="GF68" s="8"/>
      <c r="GG68" s="8"/>
      <c r="GH68" s="9"/>
      <c r="GK68" s="9"/>
      <c r="GS68" s="8"/>
      <c r="GT68" s="8"/>
      <c r="HC68" s="9"/>
    </row>
    <row r="69" ht="15.75" customHeight="1">
      <c r="A69" s="1"/>
      <c r="D69" s="9"/>
      <c r="G69" s="9"/>
      <c r="J69" s="9"/>
      <c r="M69" s="9"/>
      <c r="P69" s="9"/>
      <c r="V69" s="9"/>
      <c r="Y69" s="9"/>
      <c r="AB69" s="9"/>
      <c r="AE69" s="9"/>
      <c r="AH69" s="9"/>
      <c r="AI69" s="10"/>
      <c r="AK69" s="9"/>
      <c r="AO69" s="23"/>
      <c r="AP69" s="23"/>
      <c r="AX69" s="24"/>
      <c r="AY69" s="24"/>
      <c r="BA69" s="8"/>
      <c r="BB69" s="8"/>
      <c r="BH69" s="23"/>
      <c r="BJ69" s="23"/>
      <c r="BK69" s="23"/>
      <c r="BM69" s="10"/>
      <c r="BN69" s="10"/>
      <c r="BP69" s="8"/>
      <c r="BQ69" s="8"/>
      <c r="BV69" s="23"/>
      <c r="BW69" s="23"/>
      <c r="BY69" s="8"/>
      <c r="BZ69" s="8"/>
      <c r="CA69" s="9"/>
      <c r="CB69" s="23"/>
      <c r="CC69" s="23"/>
      <c r="CD69" s="9"/>
      <c r="CG69" s="9"/>
      <c r="CJ69" s="9"/>
      <c r="CM69" s="9"/>
      <c r="CP69" s="9"/>
      <c r="CS69" s="9"/>
      <c r="CV69" s="9"/>
      <c r="CY69" s="9"/>
      <c r="DB69" s="9"/>
      <c r="DE69" s="9"/>
      <c r="DH69" s="9"/>
      <c r="DK69" s="9"/>
      <c r="DN69" s="9"/>
      <c r="DQ69" s="9"/>
      <c r="DT69" s="9"/>
      <c r="DW69" s="9"/>
      <c r="DX69" s="8"/>
      <c r="DY69" s="8"/>
      <c r="DZ69" s="9"/>
      <c r="EA69" s="8"/>
      <c r="EC69" s="9"/>
      <c r="EF69" s="9"/>
      <c r="EI69" s="9"/>
      <c r="EL69" s="9"/>
      <c r="EO69" s="9"/>
      <c r="ER69" s="9"/>
      <c r="EU69" s="9"/>
      <c r="EX69" s="9"/>
      <c r="FA69" s="9"/>
      <c r="FD69" s="9"/>
      <c r="FG69" s="9"/>
      <c r="FJ69" s="9"/>
      <c r="FK69" s="8"/>
      <c r="FM69" s="9"/>
      <c r="FP69" s="9"/>
      <c r="FS69" s="9"/>
      <c r="FY69" s="9"/>
      <c r="GC69" s="8"/>
      <c r="GD69" s="8"/>
      <c r="GE69" s="9"/>
      <c r="GF69" s="8"/>
      <c r="GG69" s="8"/>
      <c r="GH69" s="9"/>
      <c r="GK69" s="9"/>
      <c r="GS69" s="8"/>
      <c r="GT69" s="8"/>
      <c r="HC69" s="9"/>
    </row>
    <row r="70" ht="15.75" customHeight="1">
      <c r="A70" s="1"/>
      <c r="D70" s="9"/>
      <c r="G70" s="9"/>
      <c r="J70" s="9"/>
      <c r="M70" s="9"/>
      <c r="P70" s="9"/>
      <c r="V70" s="9"/>
      <c r="Y70" s="9"/>
      <c r="AB70" s="9"/>
      <c r="AE70" s="9"/>
      <c r="AH70" s="9"/>
      <c r="AI70" s="10"/>
      <c r="AK70" s="9"/>
      <c r="AO70" s="23"/>
      <c r="AP70" s="23"/>
      <c r="AX70" s="24"/>
      <c r="AY70" s="24"/>
      <c r="BA70" s="8"/>
      <c r="BB70" s="8"/>
      <c r="BH70" s="23"/>
      <c r="BJ70" s="23"/>
      <c r="BK70" s="23"/>
      <c r="BM70" s="10"/>
      <c r="BN70" s="10"/>
      <c r="BP70" s="8"/>
      <c r="BQ70" s="8"/>
      <c r="BV70" s="23"/>
      <c r="BW70" s="23"/>
      <c r="BY70" s="8"/>
      <c r="BZ70" s="8"/>
      <c r="CA70" s="9"/>
      <c r="CB70" s="23"/>
      <c r="CC70" s="23"/>
      <c r="CD70" s="9"/>
      <c r="CG70" s="9"/>
      <c r="CJ70" s="9"/>
      <c r="CM70" s="9"/>
      <c r="CP70" s="9"/>
      <c r="CS70" s="9"/>
      <c r="CV70" s="9"/>
      <c r="CY70" s="9"/>
      <c r="DB70" s="9"/>
      <c r="DE70" s="9"/>
      <c r="DH70" s="9"/>
      <c r="DK70" s="9"/>
      <c r="DN70" s="9"/>
      <c r="DQ70" s="9"/>
      <c r="DT70" s="9"/>
      <c r="DW70" s="9"/>
      <c r="DX70" s="8"/>
      <c r="DY70" s="8"/>
      <c r="DZ70" s="9"/>
      <c r="EA70" s="8"/>
      <c r="EC70" s="9"/>
      <c r="EF70" s="9"/>
      <c r="EI70" s="9"/>
      <c r="EL70" s="9"/>
      <c r="EO70" s="9"/>
      <c r="ER70" s="9"/>
      <c r="EU70" s="9"/>
      <c r="EX70" s="9"/>
      <c r="FA70" s="9"/>
      <c r="FD70" s="9"/>
      <c r="FG70" s="9"/>
      <c r="FJ70" s="9"/>
      <c r="FK70" s="8"/>
      <c r="FM70" s="9"/>
      <c r="FP70" s="9"/>
      <c r="FS70" s="9"/>
      <c r="FY70" s="9"/>
      <c r="GC70" s="8"/>
      <c r="GD70" s="8"/>
      <c r="GE70" s="9"/>
      <c r="GF70" s="8"/>
      <c r="GG70" s="8"/>
      <c r="GH70" s="9"/>
      <c r="GK70" s="9"/>
      <c r="GS70" s="8"/>
      <c r="GT70" s="8"/>
      <c r="HC70" s="9"/>
    </row>
    <row r="71" ht="15.75" customHeight="1">
      <c r="A71" s="1"/>
      <c r="D71" s="9"/>
      <c r="G71" s="9"/>
      <c r="J71" s="9"/>
      <c r="M71" s="9"/>
      <c r="P71" s="9"/>
      <c r="V71" s="9"/>
      <c r="Y71" s="9"/>
      <c r="AB71" s="9"/>
      <c r="AE71" s="9"/>
      <c r="AH71" s="9"/>
      <c r="AI71" s="10"/>
      <c r="AK71" s="9"/>
      <c r="AO71" s="23"/>
      <c r="AP71" s="23"/>
      <c r="AX71" s="24"/>
      <c r="AY71" s="24"/>
      <c r="BA71" s="8"/>
      <c r="BB71" s="8"/>
      <c r="BH71" s="23"/>
      <c r="BJ71" s="23"/>
      <c r="BK71" s="23"/>
      <c r="BM71" s="10"/>
      <c r="BN71" s="10"/>
      <c r="BP71" s="8"/>
      <c r="BQ71" s="8"/>
      <c r="BV71" s="23"/>
      <c r="BW71" s="23"/>
      <c r="BY71" s="8"/>
      <c r="BZ71" s="8"/>
      <c r="CA71" s="9"/>
      <c r="CB71" s="23"/>
      <c r="CC71" s="23"/>
      <c r="CD71" s="9"/>
      <c r="CG71" s="9"/>
      <c r="CJ71" s="9"/>
      <c r="CM71" s="9"/>
      <c r="CP71" s="9"/>
      <c r="CS71" s="9"/>
      <c r="CV71" s="9"/>
      <c r="CY71" s="9"/>
      <c r="DB71" s="9"/>
      <c r="DE71" s="9"/>
      <c r="DH71" s="9"/>
      <c r="DK71" s="9"/>
      <c r="DN71" s="9"/>
      <c r="DQ71" s="9"/>
      <c r="DT71" s="9"/>
      <c r="DW71" s="9"/>
      <c r="DX71" s="8"/>
      <c r="DY71" s="8"/>
      <c r="DZ71" s="9"/>
      <c r="EA71" s="8"/>
      <c r="EC71" s="9"/>
      <c r="EF71" s="9"/>
      <c r="EI71" s="9"/>
      <c r="EL71" s="9"/>
      <c r="EO71" s="9"/>
      <c r="ER71" s="9"/>
      <c r="EU71" s="9"/>
      <c r="EX71" s="9"/>
      <c r="FA71" s="9"/>
      <c r="FD71" s="9"/>
      <c r="FG71" s="9"/>
      <c r="FJ71" s="9"/>
      <c r="FK71" s="8"/>
      <c r="FM71" s="9"/>
      <c r="FP71" s="9"/>
      <c r="FS71" s="9"/>
      <c r="FY71" s="9"/>
      <c r="GC71" s="8"/>
      <c r="GD71" s="8"/>
      <c r="GE71" s="9"/>
      <c r="GF71" s="8"/>
      <c r="GG71" s="8"/>
      <c r="GH71" s="9"/>
      <c r="GK71" s="9"/>
      <c r="GS71" s="8"/>
      <c r="GT71" s="8"/>
      <c r="HC71" s="9"/>
    </row>
    <row r="72" ht="15.75" customHeight="1">
      <c r="A72" s="1"/>
      <c r="D72" s="9"/>
      <c r="G72" s="9"/>
      <c r="J72" s="9"/>
      <c r="M72" s="9"/>
      <c r="P72" s="9"/>
      <c r="V72" s="9"/>
      <c r="Y72" s="9"/>
      <c r="AB72" s="9"/>
      <c r="AE72" s="9"/>
      <c r="AH72" s="9"/>
      <c r="AI72" s="10"/>
      <c r="AK72" s="9"/>
      <c r="AO72" s="23"/>
      <c r="AP72" s="23"/>
      <c r="AX72" s="24"/>
      <c r="AY72" s="24"/>
      <c r="BA72" s="8"/>
      <c r="BB72" s="8"/>
      <c r="BH72" s="23"/>
      <c r="BJ72" s="23"/>
      <c r="BK72" s="23"/>
      <c r="BM72" s="10"/>
      <c r="BN72" s="10"/>
      <c r="BP72" s="8"/>
      <c r="BQ72" s="8"/>
      <c r="BV72" s="23"/>
      <c r="BW72" s="23"/>
      <c r="BY72" s="8"/>
      <c r="BZ72" s="8"/>
      <c r="CA72" s="9"/>
      <c r="CB72" s="23"/>
      <c r="CC72" s="23"/>
      <c r="CD72" s="9"/>
      <c r="CG72" s="9"/>
      <c r="CJ72" s="9"/>
      <c r="CM72" s="9"/>
      <c r="CP72" s="9"/>
      <c r="CS72" s="9"/>
      <c r="CV72" s="9"/>
      <c r="CY72" s="9"/>
      <c r="DB72" s="9"/>
      <c r="DE72" s="9"/>
      <c r="DH72" s="9"/>
      <c r="DK72" s="9"/>
      <c r="DN72" s="9"/>
      <c r="DQ72" s="9"/>
      <c r="DT72" s="9"/>
      <c r="DW72" s="9"/>
      <c r="DX72" s="8"/>
      <c r="DY72" s="8"/>
      <c r="DZ72" s="9"/>
      <c r="EA72" s="8"/>
      <c r="EC72" s="9"/>
      <c r="EF72" s="9"/>
      <c r="EI72" s="9"/>
      <c r="EL72" s="9"/>
      <c r="EO72" s="9"/>
      <c r="ER72" s="9"/>
      <c r="EU72" s="9"/>
      <c r="EX72" s="9"/>
      <c r="FA72" s="9"/>
      <c r="FD72" s="9"/>
      <c r="FG72" s="9"/>
      <c r="FJ72" s="9"/>
      <c r="FK72" s="8"/>
      <c r="FM72" s="9"/>
      <c r="FP72" s="9"/>
      <c r="FS72" s="9"/>
      <c r="FY72" s="9"/>
      <c r="GC72" s="8"/>
      <c r="GD72" s="8"/>
      <c r="GE72" s="9"/>
      <c r="GF72" s="8"/>
      <c r="GG72" s="8"/>
      <c r="GH72" s="9"/>
      <c r="GK72" s="9"/>
      <c r="GS72" s="8"/>
      <c r="GT72" s="8"/>
      <c r="HC72" s="9"/>
    </row>
    <row r="73" ht="15.75" customHeight="1">
      <c r="A73" s="1"/>
      <c r="D73" s="9"/>
      <c r="G73" s="9"/>
      <c r="J73" s="9"/>
      <c r="M73" s="9"/>
      <c r="P73" s="9"/>
      <c r="V73" s="9"/>
      <c r="Y73" s="9"/>
      <c r="AB73" s="9"/>
      <c r="AE73" s="9"/>
      <c r="AH73" s="9"/>
      <c r="AI73" s="10"/>
      <c r="AK73" s="9"/>
      <c r="AO73" s="23"/>
      <c r="AP73" s="23"/>
      <c r="AX73" s="24"/>
      <c r="AY73" s="24"/>
      <c r="BA73" s="8"/>
      <c r="BB73" s="8"/>
      <c r="BH73" s="23"/>
      <c r="BJ73" s="23"/>
      <c r="BK73" s="23"/>
      <c r="BM73" s="10"/>
      <c r="BN73" s="10"/>
      <c r="BP73" s="8"/>
      <c r="BQ73" s="8"/>
      <c r="BV73" s="23"/>
      <c r="BW73" s="23"/>
      <c r="BY73" s="8"/>
      <c r="BZ73" s="8"/>
      <c r="CA73" s="9"/>
      <c r="CB73" s="23"/>
      <c r="CC73" s="23"/>
      <c r="CD73" s="9"/>
      <c r="CG73" s="9"/>
      <c r="CJ73" s="9"/>
      <c r="CM73" s="9"/>
      <c r="CP73" s="9"/>
      <c r="CS73" s="9"/>
      <c r="CV73" s="9"/>
      <c r="CY73" s="9"/>
      <c r="DB73" s="9"/>
      <c r="DE73" s="9"/>
      <c r="DH73" s="9"/>
      <c r="DK73" s="9"/>
      <c r="DN73" s="9"/>
      <c r="DQ73" s="9"/>
      <c r="DT73" s="9"/>
      <c r="DW73" s="9"/>
      <c r="DX73" s="8"/>
      <c r="DY73" s="8"/>
      <c r="DZ73" s="9"/>
      <c r="EA73" s="8"/>
      <c r="EC73" s="9"/>
      <c r="EF73" s="9"/>
      <c r="EI73" s="9"/>
      <c r="EL73" s="9"/>
      <c r="EO73" s="9"/>
      <c r="ER73" s="9"/>
      <c r="EU73" s="9"/>
      <c r="EX73" s="9"/>
      <c r="FA73" s="9"/>
      <c r="FD73" s="9"/>
      <c r="FG73" s="9"/>
      <c r="FJ73" s="9"/>
      <c r="FK73" s="8"/>
      <c r="FM73" s="9"/>
      <c r="FP73" s="9"/>
      <c r="FS73" s="9"/>
      <c r="FY73" s="9"/>
      <c r="GC73" s="8"/>
      <c r="GD73" s="8"/>
      <c r="GE73" s="9"/>
      <c r="GF73" s="8"/>
      <c r="GG73" s="8"/>
      <c r="GH73" s="9"/>
      <c r="GK73" s="9"/>
      <c r="GS73" s="8"/>
      <c r="GT73" s="8"/>
      <c r="HC73" s="9"/>
    </row>
    <row r="74" ht="15.75" customHeight="1">
      <c r="A74" s="1"/>
      <c r="D74" s="9"/>
      <c r="G74" s="9"/>
      <c r="J74" s="9"/>
      <c r="M74" s="9"/>
      <c r="P74" s="9"/>
      <c r="V74" s="9"/>
      <c r="Y74" s="9"/>
      <c r="AB74" s="9"/>
      <c r="AE74" s="9"/>
      <c r="AH74" s="9"/>
      <c r="AI74" s="10"/>
      <c r="AK74" s="9"/>
      <c r="AO74" s="23"/>
      <c r="AP74" s="23"/>
      <c r="AX74" s="24"/>
      <c r="AY74" s="24"/>
      <c r="BA74" s="8"/>
      <c r="BB74" s="8"/>
      <c r="BH74" s="23"/>
      <c r="BJ74" s="23"/>
      <c r="BK74" s="23"/>
      <c r="BM74" s="10"/>
      <c r="BN74" s="10"/>
      <c r="BP74" s="8"/>
      <c r="BQ74" s="8"/>
      <c r="BV74" s="23"/>
      <c r="BW74" s="23"/>
      <c r="BY74" s="8"/>
      <c r="BZ74" s="8"/>
      <c r="CA74" s="9"/>
      <c r="CB74" s="23"/>
      <c r="CC74" s="23"/>
      <c r="CD74" s="9"/>
      <c r="CG74" s="9"/>
      <c r="CJ74" s="9"/>
      <c r="CM74" s="9"/>
      <c r="CP74" s="9"/>
      <c r="CS74" s="9"/>
      <c r="CV74" s="9"/>
      <c r="CY74" s="9"/>
      <c r="DB74" s="9"/>
      <c r="DE74" s="9"/>
      <c r="DH74" s="9"/>
      <c r="DK74" s="9"/>
      <c r="DN74" s="9"/>
      <c r="DQ74" s="9"/>
      <c r="DT74" s="9"/>
      <c r="DW74" s="9"/>
      <c r="DX74" s="8"/>
      <c r="DY74" s="8"/>
      <c r="DZ74" s="9"/>
      <c r="EA74" s="8"/>
      <c r="EC74" s="9"/>
      <c r="EF74" s="9"/>
      <c r="EI74" s="9"/>
      <c r="EL74" s="9"/>
      <c r="EO74" s="9"/>
      <c r="ER74" s="9"/>
      <c r="EU74" s="9"/>
      <c r="EX74" s="9"/>
      <c r="FA74" s="9"/>
      <c r="FD74" s="9"/>
      <c r="FG74" s="9"/>
      <c r="FJ74" s="9"/>
      <c r="FK74" s="8"/>
      <c r="FM74" s="9"/>
      <c r="FP74" s="9"/>
      <c r="FS74" s="9"/>
      <c r="FY74" s="9"/>
      <c r="GC74" s="8"/>
      <c r="GD74" s="8"/>
      <c r="GE74" s="9"/>
      <c r="GF74" s="8"/>
      <c r="GG74" s="8"/>
      <c r="GH74" s="9"/>
      <c r="GK74" s="9"/>
      <c r="GS74" s="8"/>
      <c r="GT74" s="8"/>
      <c r="HC74" s="9"/>
    </row>
    <row r="75" ht="15.75" customHeight="1">
      <c r="A75" s="1"/>
      <c r="D75" s="9"/>
      <c r="G75" s="9"/>
      <c r="J75" s="9"/>
      <c r="M75" s="9"/>
      <c r="P75" s="9"/>
      <c r="V75" s="9"/>
      <c r="Y75" s="9"/>
      <c r="AB75" s="9"/>
      <c r="AE75" s="9"/>
      <c r="AH75" s="9"/>
      <c r="AI75" s="10"/>
      <c r="AK75" s="9"/>
      <c r="AO75" s="23"/>
      <c r="AP75" s="23"/>
      <c r="AX75" s="24"/>
      <c r="AY75" s="24"/>
      <c r="BA75" s="8"/>
      <c r="BB75" s="8"/>
      <c r="BH75" s="23"/>
      <c r="BJ75" s="23"/>
      <c r="BK75" s="23"/>
      <c r="BM75" s="10"/>
      <c r="BN75" s="10"/>
      <c r="BP75" s="8"/>
      <c r="BQ75" s="8"/>
      <c r="BV75" s="23"/>
      <c r="BW75" s="23"/>
      <c r="BY75" s="8"/>
      <c r="BZ75" s="8"/>
      <c r="CA75" s="9"/>
      <c r="CB75" s="23"/>
      <c r="CC75" s="23"/>
      <c r="CD75" s="9"/>
      <c r="CG75" s="9"/>
      <c r="CJ75" s="9"/>
      <c r="CM75" s="9"/>
      <c r="CP75" s="9"/>
      <c r="CS75" s="9"/>
      <c r="CV75" s="9"/>
      <c r="CY75" s="9"/>
      <c r="DB75" s="9"/>
      <c r="DE75" s="9"/>
      <c r="DH75" s="9"/>
      <c r="DK75" s="9"/>
      <c r="DN75" s="9"/>
      <c r="DQ75" s="9"/>
      <c r="DT75" s="9"/>
      <c r="DW75" s="9"/>
      <c r="DX75" s="8"/>
      <c r="DY75" s="8"/>
      <c r="DZ75" s="9"/>
      <c r="EA75" s="8"/>
      <c r="EC75" s="9"/>
      <c r="EF75" s="9"/>
      <c r="EI75" s="9"/>
      <c r="EL75" s="9"/>
      <c r="EO75" s="9"/>
      <c r="ER75" s="9"/>
      <c r="EU75" s="9"/>
      <c r="EX75" s="9"/>
      <c r="FA75" s="9"/>
      <c r="FD75" s="9"/>
      <c r="FG75" s="9"/>
      <c r="FJ75" s="9"/>
      <c r="FK75" s="8"/>
      <c r="FM75" s="9"/>
      <c r="FP75" s="9"/>
      <c r="FS75" s="9"/>
      <c r="FY75" s="9"/>
      <c r="GC75" s="8"/>
      <c r="GD75" s="8"/>
      <c r="GE75" s="9"/>
      <c r="GF75" s="8"/>
      <c r="GG75" s="8"/>
      <c r="GH75" s="9"/>
      <c r="GK75" s="9"/>
      <c r="GS75" s="8"/>
      <c r="GT75" s="8"/>
      <c r="HC75" s="9"/>
    </row>
    <row r="76" ht="15.75" customHeight="1">
      <c r="A76" s="1"/>
      <c r="D76" s="9"/>
      <c r="G76" s="9"/>
      <c r="J76" s="9"/>
      <c r="M76" s="9"/>
      <c r="P76" s="9"/>
      <c r="V76" s="9"/>
      <c r="Y76" s="9"/>
      <c r="AB76" s="9"/>
      <c r="AE76" s="9"/>
      <c r="AH76" s="9"/>
      <c r="AI76" s="10"/>
      <c r="AK76" s="9"/>
      <c r="AO76" s="23"/>
      <c r="AP76" s="23"/>
      <c r="AX76" s="24"/>
      <c r="AY76" s="24"/>
      <c r="BA76" s="8"/>
      <c r="BB76" s="8"/>
      <c r="BH76" s="23"/>
      <c r="BJ76" s="23"/>
      <c r="BK76" s="23"/>
      <c r="BM76" s="10"/>
      <c r="BN76" s="10"/>
      <c r="BP76" s="8"/>
      <c r="BQ76" s="8"/>
      <c r="BV76" s="23"/>
      <c r="BW76" s="23"/>
      <c r="BY76" s="8"/>
      <c r="BZ76" s="8"/>
      <c r="CA76" s="9"/>
      <c r="CB76" s="23"/>
      <c r="CC76" s="23"/>
      <c r="CD76" s="9"/>
      <c r="CG76" s="9"/>
      <c r="CJ76" s="9"/>
      <c r="CM76" s="9"/>
      <c r="CP76" s="9"/>
      <c r="CS76" s="9"/>
      <c r="CV76" s="9"/>
      <c r="CY76" s="9"/>
      <c r="DB76" s="9"/>
      <c r="DE76" s="9"/>
      <c r="DH76" s="9"/>
      <c r="DK76" s="9"/>
      <c r="DN76" s="9"/>
      <c r="DQ76" s="9"/>
      <c r="DT76" s="9"/>
      <c r="DW76" s="9"/>
      <c r="DX76" s="8"/>
      <c r="DY76" s="8"/>
      <c r="DZ76" s="9"/>
      <c r="EA76" s="8"/>
      <c r="EC76" s="9"/>
      <c r="EF76" s="9"/>
      <c r="EI76" s="9"/>
      <c r="EL76" s="9"/>
      <c r="EO76" s="9"/>
      <c r="ER76" s="9"/>
      <c r="EU76" s="9"/>
      <c r="EX76" s="9"/>
      <c r="FA76" s="9"/>
      <c r="FD76" s="9"/>
      <c r="FG76" s="9"/>
      <c r="FJ76" s="9"/>
      <c r="FK76" s="8"/>
      <c r="FM76" s="9"/>
      <c r="FP76" s="9"/>
      <c r="FS76" s="9"/>
      <c r="FY76" s="9"/>
      <c r="GC76" s="8"/>
      <c r="GD76" s="8"/>
      <c r="GE76" s="9"/>
      <c r="GF76" s="8"/>
      <c r="GG76" s="8"/>
      <c r="GH76" s="9"/>
      <c r="GK76" s="9"/>
      <c r="GS76" s="8"/>
      <c r="GT76" s="8"/>
      <c r="HC76" s="9"/>
    </row>
    <row r="77" ht="15.75" customHeight="1">
      <c r="A77" s="1"/>
      <c r="D77" s="9"/>
      <c r="G77" s="9"/>
      <c r="J77" s="9"/>
      <c r="M77" s="9"/>
      <c r="P77" s="9"/>
      <c r="V77" s="9"/>
      <c r="Y77" s="9"/>
      <c r="AB77" s="9"/>
      <c r="AE77" s="9"/>
      <c r="AH77" s="9"/>
      <c r="AI77" s="10"/>
      <c r="AK77" s="9"/>
      <c r="AO77" s="23"/>
      <c r="AP77" s="23"/>
      <c r="AX77" s="24"/>
      <c r="AY77" s="24"/>
      <c r="BA77" s="8"/>
      <c r="BB77" s="8"/>
      <c r="BH77" s="23"/>
      <c r="BJ77" s="23"/>
      <c r="BK77" s="23"/>
      <c r="BM77" s="10"/>
      <c r="BN77" s="10"/>
      <c r="BP77" s="8"/>
      <c r="BQ77" s="8"/>
      <c r="BV77" s="23"/>
      <c r="BW77" s="23"/>
      <c r="BY77" s="8"/>
      <c r="BZ77" s="8"/>
      <c r="CA77" s="9"/>
      <c r="CB77" s="23"/>
      <c r="CC77" s="23"/>
      <c r="CD77" s="9"/>
      <c r="CG77" s="9"/>
      <c r="CJ77" s="9"/>
      <c r="CM77" s="9"/>
      <c r="CP77" s="9"/>
      <c r="CS77" s="9"/>
      <c r="CV77" s="9"/>
      <c r="CY77" s="9"/>
      <c r="DB77" s="9"/>
      <c r="DE77" s="9"/>
      <c r="DH77" s="9"/>
      <c r="DK77" s="9"/>
      <c r="DN77" s="9"/>
      <c r="DQ77" s="9"/>
      <c r="DT77" s="9"/>
      <c r="DW77" s="9"/>
      <c r="DX77" s="8"/>
      <c r="DY77" s="8"/>
      <c r="DZ77" s="9"/>
      <c r="EA77" s="8"/>
      <c r="EC77" s="9"/>
      <c r="EF77" s="9"/>
      <c r="EI77" s="9"/>
      <c r="EL77" s="9"/>
      <c r="EO77" s="9"/>
      <c r="ER77" s="9"/>
      <c r="EU77" s="9"/>
      <c r="EX77" s="9"/>
      <c r="FA77" s="9"/>
      <c r="FD77" s="9"/>
      <c r="FG77" s="9"/>
      <c r="FJ77" s="9"/>
      <c r="FK77" s="8"/>
      <c r="FM77" s="9"/>
      <c r="FP77" s="9"/>
      <c r="FS77" s="9"/>
      <c r="FY77" s="9"/>
      <c r="GC77" s="8"/>
      <c r="GD77" s="8"/>
      <c r="GE77" s="9"/>
      <c r="GF77" s="8"/>
      <c r="GG77" s="8"/>
      <c r="GH77" s="9"/>
      <c r="GK77" s="9"/>
      <c r="GS77" s="8"/>
      <c r="GT77" s="8"/>
      <c r="HC77" s="9"/>
    </row>
    <row r="78" ht="15.75" customHeight="1">
      <c r="A78" s="1"/>
      <c r="D78" s="9"/>
      <c r="G78" s="9"/>
      <c r="J78" s="9"/>
      <c r="M78" s="9"/>
      <c r="P78" s="9"/>
      <c r="V78" s="9"/>
      <c r="Y78" s="9"/>
      <c r="AB78" s="9"/>
      <c r="AE78" s="9"/>
      <c r="AH78" s="9"/>
      <c r="AI78" s="10"/>
      <c r="AK78" s="9"/>
      <c r="AO78" s="23"/>
      <c r="AP78" s="23"/>
      <c r="AX78" s="24"/>
      <c r="AY78" s="24"/>
      <c r="BA78" s="8"/>
      <c r="BB78" s="8"/>
      <c r="BH78" s="23"/>
      <c r="BJ78" s="23"/>
      <c r="BK78" s="23"/>
      <c r="BM78" s="10"/>
      <c r="BN78" s="10"/>
      <c r="BP78" s="8"/>
      <c r="BQ78" s="8"/>
      <c r="BV78" s="23"/>
      <c r="BW78" s="23"/>
      <c r="BY78" s="8"/>
      <c r="BZ78" s="8"/>
      <c r="CA78" s="9"/>
      <c r="CB78" s="23"/>
      <c r="CC78" s="23"/>
      <c r="CD78" s="9"/>
      <c r="CG78" s="9"/>
      <c r="CJ78" s="9"/>
      <c r="CM78" s="9"/>
      <c r="CP78" s="9"/>
      <c r="CS78" s="9"/>
      <c r="CV78" s="9"/>
      <c r="CY78" s="9"/>
      <c r="DB78" s="9"/>
      <c r="DE78" s="9"/>
      <c r="DH78" s="9"/>
      <c r="DK78" s="9"/>
      <c r="DN78" s="9"/>
      <c r="DQ78" s="9"/>
      <c r="DT78" s="9"/>
      <c r="DW78" s="9"/>
      <c r="DX78" s="8"/>
      <c r="DY78" s="8"/>
      <c r="DZ78" s="9"/>
      <c r="EA78" s="8"/>
      <c r="EC78" s="9"/>
      <c r="EF78" s="9"/>
      <c r="EI78" s="9"/>
      <c r="EL78" s="9"/>
      <c r="EO78" s="9"/>
      <c r="ER78" s="9"/>
      <c r="EU78" s="9"/>
      <c r="EX78" s="9"/>
      <c r="FA78" s="9"/>
      <c r="FD78" s="9"/>
      <c r="FG78" s="9"/>
      <c r="FJ78" s="9"/>
      <c r="FK78" s="8"/>
      <c r="FM78" s="9"/>
      <c r="FP78" s="9"/>
      <c r="FS78" s="9"/>
      <c r="FY78" s="9"/>
      <c r="GC78" s="8"/>
      <c r="GD78" s="8"/>
      <c r="GE78" s="9"/>
      <c r="GF78" s="8"/>
      <c r="GG78" s="8"/>
      <c r="GH78" s="9"/>
      <c r="GK78" s="9"/>
      <c r="GS78" s="8"/>
      <c r="GT78" s="8"/>
      <c r="HC78" s="9"/>
    </row>
    <row r="79" ht="15.75" customHeight="1">
      <c r="A79" s="1"/>
      <c r="D79" s="9"/>
      <c r="G79" s="9"/>
      <c r="J79" s="9"/>
      <c r="M79" s="9"/>
      <c r="P79" s="9"/>
      <c r="V79" s="9"/>
      <c r="Y79" s="9"/>
      <c r="AB79" s="9"/>
      <c r="AE79" s="9"/>
      <c r="AH79" s="9"/>
      <c r="AI79" s="10"/>
      <c r="AK79" s="9"/>
      <c r="AO79" s="23"/>
      <c r="AP79" s="23"/>
      <c r="AX79" s="24"/>
      <c r="AY79" s="24"/>
      <c r="BA79" s="8"/>
      <c r="BB79" s="8"/>
      <c r="BH79" s="23"/>
      <c r="BJ79" s="23"/>
      <c r="BK79" s="23"/>
      <c r="BM79" s="10"/>
      <c r="BN79" s="10"/>
      <c r="BP79" s="8"/>
      <c r="BQ79" s="8"/>
      <c r="BV79" s="23"/>
      <c r="BW79" s="23"/>
      <c r="BY79" s="8"/>
      <c r="BZ79" s="8"/>
      <c r="CA79" s="9"/>
      <c r="CB79" s="23"/>
      <c r="CC79" s="23"/>
      <c r="CD79" s="9"/>
      <c r="CG79" s="9"/>
      <c r="CJ79" s="9"/>
      <c r="CM79" s="9"/>
      <c r="CP79" s="9"/>
      <c r="CS79" s="9"/>
      <c r="CV79" s="9"/>
      <c r="CY79" s="9"/>
      <c r="DB79" s="9"/>
      <c r="DE79" s="9"/>
      <c r="DH79" s="9"/>
      <c r="DK79" s="9"/>
      <c r="DN79" s="9"/>
      <c r="DQ79" s="9"/>
      <c r="DT79" s="9"/>
      <c r="DW79" s="9"/>
      <c r="DX79" s="8"/>
      <c r="DY79" s="8"/>
      <c r="DZ79" s="9"/>
      <c r="EA79" s="8"/>
      <c r="EC79" s="9"/>
      <c r="EF79" s="9"/>
      <c r="EI79" s="9"/>
      <c r="EL79" s="9"/>
      <c r="EO79" s="9"/>
      <c r="ER79" s="9"/>
      <c r="EU79" s="9"/>
      <c r="EX79" s="9"/>
      <c r="FA79" s="9"/>
      <c r="FD79" s="9"/>
      <c r="FG79" s="9"/>
      <c r="FJ79" s="9"/>
      <c r="FK79" s="8"/>
      <c r="FM79" s="9"/>
      <c r="FP79" s="9"/>
      <c r="FS79" s="9"/>
      <c r="FY79" s="9"/>
      <c r="GC79" s="8"/>
      <c r="GD79" s="8"/>
      <c r="GE79" s="9"/>
      <c r="GF79" s="8"/>
      <c r="GG79" s="8"/>
      <c r="GH79" s="9"/>
      <c r="GK79" s="9"/>
      <c r="GS79" s="8"/>
      <c r="GT79" s="8"/>
      <c r="HC79" s="9"/>
    </row>
    <row r="80" ht="15.75" customHeight="1">
      <c r="A80" s="1"/>
      <c r="D80" s="9"/>
      <c r="G80" s="9"/>
      <c r="J80" s="9"/>
      <c r="M80" s="9"/>
      <c r="P80" s="9"/>
      <c r="V80" s="9"/>
      <c r="Y80" s="9"/>
      <c r="AB80" s="9"/>
      <c r="AE80" s="9"/>
      <c r="AH80" s="9"/>
      <c r="AI80" s="10"/>
      <c r="AK80" s="9"/>
      <c r="AO80" s="23"/>
      <c r="AP80" s="23"/>
      <c r="AX80" s="24"/>
      <c r="AY80" s="24"/>
      <c r="BA80" s="8"/>
      <c r="BB80" s="8"/>
      <c r="BH80" s="23"/>
      <c r="BJ80" s="23"/>
      <c r="BK80" s="23"/>
      <c r="BM80" s="10"/>
      <c r="BN80" s="10"/>
      <c r="BP80" s="8"/>
      <c r="BQ80" s="8"/>
      <c r="BV80" s="23"/>
      <c r="BW80" s="23"/>
      <c r="BY80" s="8"/>
      <c r="BZ80" s="8"/>
      <c r="CA80" s="9"/>
      <c r="CB80" s="23"/>
      <c r="CC80" s="23"/>
      <c r="CD80" s="9"/>
      <c r="CG80" s="9"/>
      <c r="CJ80" s="9"/>
      <c r="CM80" s="9"/>
      <c r="CP80" s="9"/>
      <c r="CS80" s="9"/>
      <c r="CV80" s="9"/>
      <c r="CY80" s="9"/>
      <c r="DB80" s="9"/>
      <c r="DE80" s="9"/>
      <c r="DH80" s="9"/>
      <c r="DK80" s="9"/>
      <c r="DN80" s="9"/>
      <c r="DQ80" s="9"/>
      <c r="DT80" s="9"/>
      <c r="DW80" s="9"/>
      <c r="DX80" s="8"/>
      <c r="DY80" s="8"/>
      <c r="DZ80" s="9"/>
      <c r="EA80" s="8"/>
      <c r="EC80" s="9"/>
      <c r="EF80" s="9"/>
      <c r="EI80" s="9"/>
      <c r="EL80" s="9"/>
      <c r="EO80" s="9"/>
      <c r="ER80" s="9"/>
      <c r="EU80" s="9"/>
      <c r="EX80" s="9"/>
      <c r="FA80" s="9"/>
      <c r="FD80" s="9"/>
      <c r="FG80" s="9"/>
      <c r="FJ80" s="9"/>
      <c r="FK80" s="8"/>
      <c r="FM80" s="9"/>
      <c r="FP80" s="9"/>
      <c r="FS80" s="9"/>
      <c r="FY80" s="9"/>
      <c r="GC80" s="8"/>
      <c r="GD80" s="8"/>
      <c r="GE80" s="9"/>
      <c r="GF80" s="8"/>
      <c r="GG80" s="8"/>
      <c r="GH80" s="9"/>
      <c r="GK80" s="9"/>
      <c r="GS80" s="8"/>
      <c r="GT80" s="8"/>
      <c r="HC80" s="9"/>
    </row>
    <row r="81" ht="15.75" customHeight="1">
      <c r="A81" s="1"/>
      <c r="D81" s="9"/>
      <c r="G81" s="9"/>
      <c r="J81" s="9"/>
      <c r="M81" s="9"/>
      <c r="P81" s="9"/>
      <c r="V81" s="9"/>
      <c r="Y81" s="9"/>
      <c r="AB81" s="9"/>
      <c r="AE81" s="9"/>
      <c r="AH81" s="9"/>
      <c r="AI81" s="10"/>
      <c r="AK81" s="9"/>
      <c r="AO81" s="23"/>
      <c r="AP81" s="23"/>
      <c r="AX81" s="24"/>
      <c r="AY81" s="24"/>
      <c r="BA81" s="8"/>
      <c r="BB81" s="8"/>
      <c r="BH81" s="23"/>
      <c r="BJ81" s="23"/>
      <c r="BK81" s="23"/>
      <c r="BM81" s="10"/>
      <c r="BN81" s="10"/>
      <c r="BP81" s="8"/>
      <c r="BQ81" s="8"/>
      <c r="BV81" s="23"/>
      <c r="BW81" s="23"/>
      <c r="BY81" s="8"/>
      <c r="BZ81" s="8"/>
      <c r="CA81" s="9"/>
      <c r="CB81" s="23"/>
      <c r="CC81" s="23"/>
      <c r="CD81" s="9"/>
      <c r="CG81" s="9"/>
      <c r="CJ81" s="9"/>
      <c r="CM81" s="9"/>
      <c r="CP81" s="9"/>
      <c r="CS81" s="9"/>
      <c r="CV81" s="9"/>
      <c r="CY81" s="9"/>
      <c r="DB81" s="9"/>
      <c r="DE81" s="9"/>
      <c r="DH81" s="9"/>
      <c r="DK81" s="9"/>
      <c r="DN81" s="9"/>
      <c r="DQ81" s="9"/>
      <c r="DT81" s="9"/>
      <c r="DW81" s="9"/>
      <c r="DX81" s="8"/>
      <c r="DY81" s="8"/>
      <c r="DZ81" s="9"/>
      <c r="EA81" s="8"/>
      <c r="EC81" s="9"/>
      <c r="EF81" s="9"/>
      <c r="EI81" s="9"/>
      <c r="EL81" s="9"/>
      <c r="EO81" s="9"/>
      <c r="ER81" s="9"/>
      <c r="EU81" s="9"/>
      <c r="EX81" s="9"/>
      <c r="FA81" s="9"/>
      <c r="FD81" s="9"/>
      <c r="FG81" s="9"/>
      <c r="FJ81" s="9"/>
      <c r="FK81" s="8"/>
      <c r="FM81" s="9"/>
      <c r="FP81" s="9"/>
      <c r="FS81" s="9"/>
      <c r="FY81" s="9"/>
      <c r="GC81" s="8"/>
      <c r="GD81" s="8"/>
      <c r="GE81" s="9"/>
      <c r="GF81" s="8"/>
      <c r="GG81" s="8"/>
      <c r="GH81" s="9"/>
      <c r="GK81" s="9"/>
      <c r="GS81" s="8"/>
      <c r="GT81" s="8"/>
      <c r="HC81" s="9"/>
    </row>
    <row r="82" ht="15.75" customHeight="1">
      <c r="A82" s="1"/>
      <c r="D82" s="9"/>
      <c r="G82" s="9"/>
      <c r="J82" s="9"/>
      <c r="M82" s="9"/>
      <c r="P82" s="9"/>
      <c r="V82" s="9"/>
      <c r="Y82" s="9"/>
      <c r="AB82" s="9"/>
      <c r="AE82" s="9"/>
      <c r="AH82" s="9"/>
      <c r="AI82" s="10"/>
      <c r="AK82" s="9"/>
      <c r="AO82" s="23"/>
      <c r="AP82" s="23"/>
      <c r="AX82" s="24"/>
      <c r="AY82" s="24"/>
      <c r="BA82" s="8"/>
      <c r="BB82" s="8"/>
      <c r="BH82" s="23"/>
      <c r="BJ82" s="23"/>
      <c r="BK82" s="23"/>
      <c r="BM82" s="10"/>
      <c r="BN82" s="10"/>
      <c r="BP82" s="8"/>
      <c r="BQ82" s="8"/>
      <c r="BV82" s="23"/>
      <c r="BW82" s="23"/>
      <c r="BY82" s="8"/>
      <c r="BZ82" s="8"/>
      <c r="CA82" s="9"/>
      <c r="CB82" s="23"/>
      <c r="CC82" s="23"/>
      <c r="CD82" s="9"/>
      <c r="CG82" s="9"/>
      <c r="CJ82" s="9"/>
      <c r="CM82" s="9"/>
      <c r="CP82" s="9"/>
      <c r="CS82" s="9"/>
      <c r="CV82" s="9"/>
      <c r="CY82" s="9"/>
      <c r="DB82" s="9"/>
      <c r="DE82" s="9"/>
      <c r="DH82" s="9"/>
      <c r="DK82" s="9"/>
      <c r="DN82" s="9"/>
      <c r="DQ82" s="9"/>
      <c r="DT82" s="9"/>
      <c r="DW82" s="9"/>
      <c r="DX82" s="8"/>
      <c r="DY82" s="8"/>
      <c r="DZ82" s="9"/>
      <c r="EA82" s="8"/>
      <c r="EC82" s="9"/>
      <c r="EF82" s="9"/>
      <c r="EI82" s="9"/>
      <c r="EL82" s="9"/>
      <c r="EO82" s="9"/>
      <c r="ER82" s="9"/>
      <c r="EU82" s="9"/>
      <c r="EX82" s="9"/>
      <c r="FA82" s="9"/>
      <c r="FD82" s="9"/>
      <c r="FG82" s="9"/>
      <c r="FJ82" s="9"/>
      <c r="FK82" s="8"/>
      <c r="FM82" s="9"/>
      <c r="FP82" s="9"/>
      <c r="FS82" s="9"/>
      <c r="FY82" s="9"/>
      <c r="GC82" s="8"/>
      <c r="GD82" s="8"/>
      <c r="GE82" s="9"/>
      <c r="GF82" s="8"/>
      <c r="GG82" s="8"/>
      <c r="GH82" s="9"/>
      <c r="GK82" s="9"/>
      <c r="GS82" s="8"/>
      <c r="GT82" s="8"/>
      <c r="HC82" s="9"/>
    </row>
    <row r="83" ht="15.75" customHeight="1">
      <c r="A83" s="1"/>
      <c r="D83" s="9"/>
      <c r="G83" s="9"/>
      <c r="J83" s="9"/>
      <c r="M83" s="9"/>
      <c r="P83" s="9"/>
      <c r="V83" s="9"/>
      <c r="Y83" s="9"/>
      <c r="AB83" s="9"/>
      <c r="AE83" s="9"/>
      <c r="AH83" s="9"/>
      <c r="AI83" s="10"/>
      <c r="AK83" s="9"/>
      <c r="AO83" s="23"/>
      <c r="AP83" s="23"/>
      <c r="AX83" s="24"/>
      <c r="AY83" s="24"/>
      <c r="BA83" s="8"/>
      <c r="BB83" s="8"/>
      <c r="BH83" s="23"/>
      <c r="BJ83" s="23"/>
      <c r="BK83" s="23"/>
      <c r="BM83" s="10"/>
      <c r="BN83" s="10"/>
      <c r="BP83" s="8"/>
      <c r="BQ83" s="8"/>
      <c r="BV83" s="23"/>
      <c r="BW83" s="23"/>
      <c r="BY83" s="8"/>
      <c r="BZ83" s="8"/>
      <c r="CA83" s="9"/>
      <c r="CB83" s="23"/>
      <c r="CC83" s="23"/>
      <c r="CD83" s="9"/>
      <c r="CG83" s="9"/>
      <c r="CJ83" s="9"/>
      <c r="CM83" s="9"/>
      <c r="CP83" s="9"/>
      <c r="CS83" s="9"/>
      <c r="CV83" s="9"/>
      <c r="CY83" s="9"/>
      <c r="DB83" s="9"/>
      <c r="DE83" s="9"/>
      <c r="DH83" s="9"/>
      <c r="DK83" s="9"/>
      <c r="DN83" s="9"/>
      <c r="DQ83" s="9"/>
      <c r="DT83" s="9"/>
      <c r="DW83" s="9"/>
      <c r="DX83" s="8"/>
      <c r="DY83" s="8"/>
      <c r="DZ83" s="9"/>
      <c r="EA83" s="8"/>
      <c r="EC83" s="9"/>
      <c r="EF83" s="9"/>
      <c r="EI83" s="9"/>
      <c r="EL83" s="9"/>
      <c r="EO83" s="9"/>
      <c r="ER83" s="9"/>
      <c r="EU83" s="9"/>
      <c r="EX83" s="9"/>
      <c r="FA83" s="9"/>
      <c r="FD83" s="9"/>
      <c r="FG83" s="9"/>
      <c r="FJ83" s="9"/>
      <c r="FK83" s="8"/>
      <c r="FM83" s="9"/>
      <c r="FP83" s="9"/>
      <c r="FS83" s="9"/>
      <c r="FY83" s="9"/>
      <c r="GC83" s="8"/>
      <c r="GD83" s="8"/>
      <c r="GE83" s="9"/>
      <c r="GF83" s="8"/>
      <c r="GG83" s="8"/>
      <c r="GH83" s="9"/>
      <c r="GK83" s="9"/>
      <c r="GS83" s="8"/>
      <c r="GT83" s="8"/>
      <c r="HC83" s="9"/>
    </row>
    <row r="84" ht="15.75" customHeight="1">
      <c r="A84" s="1"/>
      <c r="D84" s="9"/>
      <c r="G84" s="9"/>
      <c r="J84" s="9"/>
      <c r="M84" s="9"/>
      <c r="P84" s="9"/>
      <c r="V84" s="9"/>
      <c r="Y84" s="9"/>
      <c r="AB84" s="9"/>
      <c r="AE84" s="9"/>
      <c r="AH84" s="9"/>
      <c r="AI84" s="10"/>
      <c r="AK84" s="9"/>
      <c r="AO84" s="23"/>
      <c r="AP84" s="23"/>
      <c r="AX84" s="24"/>
      <c r="AY84" s="24"/>
      <c r="BA84" s="8"/>
      <c r="BB84" s="8"/>
      <c r="BH84" s="23"/>
      <c r="BJ84" s="23"/>
      <c r="BK84" s="23"/>
      <c r="BM84" s="10"/>
      <c r="BN84" s="10"/>
      <c r="BP84" s="8"/>
      <c r="BQ84" s="8"/>
      <c r="BV84" s="23"/>
      <c r="BW84" s="23"/>
      <c r="BY84" s="8"/>
      <c r="BZ84" s="8"/>
      <c r="CA84" s="9"/>
      <c r="CB84" s="23"/>
      <c r="CC84" s="23"/>
      <c r="CD84" s="9"/>
      <c r="CG84" s="9"/>
      <c r="CJ84" s="9"/>
      <c r="CM84" s="9"/>
      <c r="CP84" s="9"/>
      <c r="CS84" s="9"/>
      <c r="CV84" s="9"/>
      <c r="CY84" s="9"/>
      <c r="DB84" s="9"/>
      <c r="DE84" s="9"/>
      <c r="DH84" s="9"/>
      <c r="DK84" s="9"/>
      <c r="DN84" s="9"/>
      <c r="DQ84" s="9"/>
      <c r="DT84" s="9"/>
      <c r="DW84" s="9"/>
      <c r="DX84" s="8"/>
      <c r="DY84" s="8"/>
      <c r="DZ84" s="9"/>
      <c r="EA84" s="8"/>
      <c r="EC84" s="9"/>
      <c r="EF84" s="9"/>
      <c r="EI84" s="9"/>
      <c r="EL84" s="9"/>
      <c r="EO84" s="9"/>
      <c r="ER84" s="9"/>
      <c r="EU84" s="9"/>
      <c r="EX84" s="9"/>
      <c r="FA84" s="9"/>
      <c r="FD84" s="9"/>
      <c r="FG84" s="9"/>
      <c r="FJ84" s="9"/>
      <c r="FK84" s="8"/>
      <c r="FM84" s="9"/>
      <c r="FP84" s="9"/>
      <c r="FS84" s="9"/>
      <c r="FY84" s="9"/>
      <c r="GC84" s="8"/>
      <c r="GD84" s="8"/>
      <c r="GE84" s="9"/>
      <c r="GF84" s="8"/>
      <c r="GG84" s="8"/>
      <c r="GH84" s="9"/>
      <c r="GK84" s="9"/>
      <c r="GS84" s="8"/>
      <c r="GT84" s="8"/>
      <c r="HC84" s="9"/>
    </row>
    <row r="85" ht="15.75" customHeight="1">
      <c r="A85" s="1"/>
      <c r="D85" s="9"/>
      <c r="G85" s="9"/>
      <c r="J85" s="9"/>
      <c r="M85" s="9"/>
      <c r="P85" s="9"/>
      <c r="V85" s="9"/>
      <c r="Y85" s="9"/>
      <c r="AB85" s="9"/>
      <c r="AE85" s="9"/>
      <c r="AH85" s="9"/>
      <c r="AI85" s="10"/>
      <c r="AK85" s="9"/>
      <c r="AO85" s="23"/>
      <c r="AP85" s="23"/>
      <c r="AX85" s="24"/>
      <c r="AY85" s="24"/>
      <c r="BA85" s="8"/>
      <c r="BB85" s="8"/>
      <c r="BH85" s="23"/>
      <c r="BJ85" s="23"/>
      <c r="BK85" s="23"/>
      <c r="BM85" s="10"/>
      <c r="BN85" s="10"/>
      <c r="BP85" s="8"/>
      <c r="BQ85" s="8"/>
      <c r="BV85" s="23"/>
      <c r="BW85" s="23"/>
      <c r="BY85" s="8"/>
      <c r="BZ85" s="8"/>
      <c r="CA85" s="9"/>
      <c r="CB85" s="23"/>
      <c r="CC85" s="23"/>
      <c r="CD85" s="9"/>
      <c r="CG85" s="9"/>
      <c r="CJ85" s="9"/>
      <c r="CM85" s="9"/>
      <c r="CP85" s="9"/>
      <c r="CS85" s="9"/>
      <c r="CV85" s="9"/>
      <c r="CY85" s="9"/>
      <c r="DB85" s="9"/>
      <c r="DE85" s="9"/>
      <c r="DH85" s="9"/>
      <c r="DK85" s="9"/>
      <c r="DN85" s="9"/>
      <c r="DQ85" s="9"/>
      <c r="DT85" s="9"/>
      <c r="DW85" s="9"/>
      <c r="DX85" s="8"/>
      <c r="DY85" s="8"/>
      <c r="DZ85" s="9"/>
      <c r="EA85" s="8"/>
      <c r="EC85" s="9"/>
      <c r="EF85" s="9"/>
      <c r="EI85" s="9"/>
      <c r="EL85" s="9"/>
      <c r="EO85" s="9"/>
      <c r="ER85" s="9"/>
      <c r="EU85" s="9"/>
      <c r="EX85" s="9"/>
      <c r="FA85" s="9"/>
      <c r="FD85" s="9"/>
      <c r="FG85" s="9"/>
      <c r="FJ85" s="9"/>
      <c r="FK85" s="8"/>
      <c r="FM85" s="9"/>
      <c r="FP85" s="9"/>
      <c r="FS85" s="9"/>
      <c r="FY85" s="9"/>
      <c r="GC85" s="8"/>
      <c r="GD85" s="8"/>
      <c r="GE85" s="9"/>
      <c r="GF85" s="8"/>
      <c r="GG85" s="8"/>
      <c r="GH85" s="9"/>
      <c r="GK85" s="9"/>
      <c r="GS85" s="8"/>
      <c r="GT85" s="8"/>
      <c r="HC85" s="9"/>
    </row>
    <row r="86" ht="15.75" customHeight="1">
      <c r="A86" s="1"/>
      <c r="D86" s="9"/>
      <c r="G86" s="9"/>
      <c r="J86" s="9"/>
      <c r="M86" s="9"/>
      <c r="P86" s="9"/>
      <c r="V86" s="9"/>
      <c r="Y86" s="9"/>
      <c r="AB86" s="9"/>
      <c r="AE86" s="9"/>
      <c r="AH86" s="9"/>
      <c r="AI86" s="10"/>
      <c r="AK86" s="9"/>
      <c r="AO86" s="23"/>
      <c r="AP86" s="23"/>
      <c r="AX86" s="24"/>
      <c r="AY86" s="24"/>
      <c r="BA86" s="8"/>
      <c r="BB86" s="8"/>
      <c r="BH86" s="23"/>
      <c r="BJ86" s="23"/>
      <c r="BK86" s="23"/>
      <c r="BM86" s="10"/>
      <c r="BN86" s="10"/>
      <c r="BP86" s="8"/>
      <c r="BQ86" s="8"/>
      <c r="BV86" s="23"/>
      <c r="BW86" s="23"/>
      <c r="BY86" s="8"/>
      <c r="BZ86" s="8"/>
      <c r="CA86" s="9"/>
      <c r="CB86" s="23"/>
      <c r="CC86" s="23"/>
      <c r="CD86" s="9"/>
      <c r="CG86" s="9"/>
      <c r="CJ86" s="9"/>
      <c r="CM86" s="9"/>
      <c r="CP86" s="9"/>
      <c r="CS86" s="9"/>
      <c r="CV86" s="9"/>
      <c r="CY86" s="9"/>
      <c r="DB86" s="9"/>
      <c r="DE86" s="9"/>
      <c r="DH86" s="9"/>
      <c r="DK86" s="9"/>
      <c r="DN86" s="9"/>
      <c r="DQ86" s="9"/>
      <c r="DT86" s="9"/>
      <c r="DW86" s="9"/>
      <c r="DX86" s="8"/>
      <c r="DY86" s="8"/>
      <c r="DZ86" s="9"/>
      <c r="EA86" s="8"/>
      <c r="EC86" s="9"/>
      <c r="EF86" s="9"/>
      <c r="EI86" s="9"/>
      <c r="EL86" s="9"/>
      <c r="EO86" s="9"/>
      <c r="ER86" s="9"/>
      <c r="EU86" s="9"/>
      <c r="EX86" s="9"/>
      <c r="FA86" s="9"/>
      <c r="FD86" s="9"/>
      <c r="FG86" s="9"/>
      <c r="FJ86" s="9"/>
      <c r="FK86" s="8"/>
      <c r="FM86" s="9"/>
      <c r="FP86" s="9"/>
      <c r="FS86" s="9"/>
      <c r="FY86" s="9"/>
      <c r="GC86" s="8"/>
      <c r="GD86" s="8"/>
      <c r="GE86" s="9"/>
      <c r="GF86" s="8"/>
      <c r="GG86" s="8"/>
      <c r="GH86" s="9"/>
      <c r="GK86" s="9"/>
      <c r="GS86" s="8"/>
      <c r="GT86" s="8"/>
      <c r="HC86" s="9"/>
    </row>
    <row r="87" ht="15.75" customHeight="1">
      <c r="A87" s="1"/>
      <c r="D87" s="9"/>
      <c r="G87" s="9"/>
      <c r="J87" s="9"/>
      <c r="M87" s="9"/>
      <c r="P87" s="9"/>
      <c r="V87" s="9"/>
      <c r="Y87" s="9"/>
      <c r="AB87" s="9"/>
      <c r="AE87" s="9"/>
      <c r="AH87" s="9"/>
      <c r="AI87" s="10"/>
      <c r="AK87" s="9"/>
      <c r="AO87" s="23"/>
      <c r="AP87" s="23"/>
      <c r="AX87" s="24"/>
      <c r="AY87" s="24"/>
      <c r="BA87" s="8"/>
      <c r="BB87" s="8"/>
      <c r="BH87" s="23"/>
      <c r="BJ87" s="23"/>
      <c r="BK87" s="23"/>
      <c r="BM87" s="10"/>
      <c r="BN87" s="10"/>
      <c r="BP87" s="8"/>
      <c r="BQ87" s="8"/>
      <c r="BV87" s="23"/>
      <c r="BW87" s="23"/>
      <c r="BY87" s="8"/>
      <c r="BZ87" s="8"/>
      <c r="CA87" s="9"/>
      <c r="CB87" s="23"/>
      <c r="CC87" s="23"/>
      <c r="CD87" s="9"/>
      <c r="CG87" s="9"/>
      <c r="CJ87" s="9"/>
      <c r="CM87" s="9"/>
      <c r="CP87" s="9"/>
      <c r="CS87" s="9"/>
      <c r="CV87" s="9"/>
      <c r="CY87" s="9"/>
      <c r="DB87" s="9"/>
      <c r="DE87" s="9"/>
      <c r="DH87" s="9"/>
      <c r="DK87" s="9"/>
      <c r="DN87" s="9"/>
      <c r="DQ87" s="9"/>
      <c r="DT87" s="9"/>
      <c r="DW87" s="9"/>
      <c r="DX87" s="8"/>
      <c r="DY87" s="8"/>
      <c r="DZ87" s="9"/>
      <c r="EA87" s="8"/>
      <c r="EC87" s="9"/>
      <c r="EF87" s="9"/>
      <c r="EI87" s="9"/>
      <c r="EL87" s="9"/>
      <c r="EO87" s="9"/>
      <c r="ER87" s="9"/>
      <c r="EU87" s="9"/>
      <c r="EX87" s="9"/>
      <c r="FA87" s="9"/>
      <c r="FD87" s="9"/>
      <c r="FG87" s="9"/>
      <c r="FJ87" s="9"/>
      <c r="FK87" s="8"/>
      <c r="FM87" s="9"/>
      <c r="FP87" s="9"/>
      <c r="FS87" s="9"/>
      <c r="FY87" s="9"/>
      <c r="GC87" s="8"/>
      <c r="GD87" s="8"/>
      <c r="GE87" s="9"/>
      <c r="GF87" s="8"/>
      <c r="GG87" s="8"/>
      <c r="GH87" s="9"/>
      <c r="GK87" s="9"/>
      <c r="GS87" s="8"/>
      <c r="GT87" s="8"/>
      <c r="HC87" s="9"/>
    </row>
    <row r="88" ht="15.75" customHeight="1">
      <c r="A88" s="1"/>
      <c r="D88" s="9"/>
      <c r="G88" s="9"/>
      <c r="J88" s="9"/>
      <c r="M88" s="9"/>
      <c r="P88" s="9"/>
      <c r="V88" s="9"/>
      <c r="Y88" s="9"/>
      <c r="AB88" s="9"/>
      <c r="AE88" s="9"/>
      <c r="AH88" s="9"/>
      <c r="AI88" s="10"/>
      <c r="AK88" s="9"/>
      <c r="AO88" s="23"/>
      <c r="AP88" s="23"/>
      <c r="AX88" s="24"/>
      <c r="AY88" s="24"/>
      <c r="BA88" s="8"/>
      <c r="BB88" s="8"/>
      <c r="BH88" s="23"/>
      <c r="BJ88" s="23"/>
      <c r="BK88" s="23"/>
      <c r="BM88" s="10"/>
      <c r="BN88" s="10"/>
      <c r="BP88" s="8"/>
      <c r="BQ88" s="8"/>
      <c r="BV88" s="23"/>
      <c r="BW88" s="23"/>
      <c r="BY88" s="8"/>
      <c r="BZ88" s="8"/>
      <c r="CA88" s="9"/>
      <c r="CB88" s="23"/>
      <c r="CC88" s="23"/>
      <c r="CD88" s="9"/>
      <c r="CG88" s="9"/>
      <c r="CJ88" s="9"/>
      <c r="CM88" s="9"/>
      <c r="CP88" s="9"/>
      <c r="CS88" s="9"/>
      <c r="CV88" s="9"/>
      <c r="CY88" s="9"/>
      <c r="DB88" s="9"/>
      <c r="DE88" s="9"/>
      <c r="DH88" s="9"/>
      <c r="DK88" s="9"/>
      <c r="DN88" s="9"/>
      <c r="DQ88" s="9"/>
      <c r="DT88" s="9"/>
      <c r="DW88" s="9"/>
      <c r="DX88" s="8"/>
      <c r="DY88" s="8"/>
      <c r="DZ88" s="9"/>
      <c r="EA88" s="8"/>
      <c r="EC88" s="9"/>
      <c r="EF88" s="9"/>
      <c r="EI88" s="9"/>
      <c r="EL88" s="9"/>
      <c r="EO88" s="9"/>
      <c r="ER88" s="9"/>
      <c r="EU88" s="9"/>
      <c r="EX88" s="9"/>
      <c r="FA88" s="9"/>
      <c r="FD88" s="9"/>
      <c r="FG88" s="9"/>
      <c r="FJ88" s="9"/>
      <c r="FK88" s="8"/>
      <c r="FM88" s="9"/>
      <c r="FP88" s="9"/>
      <c r="FS88" s="9"/>
      <c r="FY88" s="9"/>
      <c r="GC88" s="8"/>
      <c r="GD88" s="8"/>
      <c r="GE88" s="9"/>
      <c r="GF88" s="8"/>
      <c r="GG88" s="8"/>
      <c r="GH88" s="9"/>
      <c r="GK88" s="9"/>
      <c r="GS88" s="8"/>
      <c r="GT88" s="8"/>
      <c r="HC88" s="9"/>
    </row>
    <row r="89" ht="15.75" customHeight="1">
      <c r="A89" s="1"/>
      <c r="D89" s="9"/>
      <c r="G89" s="9"/>
      <c r="J89" s="9"/>
      <c r="M89" s="9"/>
      <c r="P89" s="9"/>
      <c r="V89" s="9"/>
      <c r="Y89" s="9"/>
      <c r="AB89" s="9"/>
      <c r="AE89" s="9"/>
      <c r="AH89" s="9"/>
      <c r="AI89" s="10"/>
      <c r="AK89" s="9"/>
      <c r="AO89" s="23"/>
      <c r="AP89" s="23"/>
      <c r="AX89" s="24"/>
      <c r="AY89" s="24"/>
      <c r="BA89" s="8"/>
      <c r="BB89" s="8"/>
      <c r="BH89" s="23"/>
      <c r="BJ89" s="23"/>
      <c r="BK89" s="23"/>
      <c r="BM89" s="10"/>
      <c r="BN89" s="10"/>
      <c r="BP89" s="8"/>
      <c r="BQ89" s="8"/>
      <c r="BV89" s="23"/>
      <c r="BW89" s="23"/>
      <c r="BY89" s="8"/>
      <c r="BZ89" s="8"/>
      <c r="CA89" s="9"/>
      <c r="CB89" s="23"/>
      <c r="CC89" s="23"/>
      <c r="CD89" s="9"/>
      <c r="CG89" s="9"/>
      <c r="CJ89" s="9"/>
      <c r="CM89" s="9"/>
      <c r="CP89" s="9"/>
      <c r="CS89" s="9"/>
      <c r="CV89" s="9"/>
      <c r="CY89" s="9"/>
      <c r="DB89" s="9"/>
      <c r="DE89" s="9"/>
      <c r="DH89" s="9"/>
      <c r="DK89" s="9"/>
      <c r="DN89" s="9"/>
      <c r="DQ89" s="9"/>
      <c r="DT89" s="9"/>
      <c r="DW89" s="9"/>
      <c r="DX89" s="8"/>
      <c r="DY89" s="8"/>
      <c r="DZ89" s="9"/>
      <c r="EA89" s="8"/>
      <c r="EC89" s="9"/>
      <c r="EF89" s="9"/>
      <c r="EI89" s="9"/>
      <c r="EL89" s="9"/>
      <c r="EO89" s="9"/>
      <c r="ER89" s="9"/>
      <c r="EU89" s="9"/>
      <c r="EX89" s="9"/>
      <c r="FA89" s="9"/>
      <c r="FD89" s="9"/>
      <c r="FG89" s="9"/>
      <c r="FJ89" s="9"/>
      <c r="FK89" s="8"/>
      <c r="FM89" s="9"/>
      <c r="FP89" s="9"/>
      <c r="FS89" s="9"/>
      <c r="FY89" s="9"/>
      <c r="GC89" s="8"/>
      <c r="GD89" s="8"/>
      <c r="GE89" s="9"/>
      <c r="GF89" s="8"/>
      <c r="GG89" s="8"/>
      <c r="GH89" s="9"/>
      <c r="GK89" s="9"/>
      <c r="GS89" s="8"/>
      <c r="GT89" s="8"/>
      <c r="HC89" s="9"/>
    </row>
    <row r="90" ht="15.75" customHeight="1">
      <c r="A90" s="1"/>
      <c r="D90" s="9"/>
      <c r="G90" s="9"/>
      <c r="J90" s="9"/>
      <c r="M90" s="9"/>
      <c r="P90" s="9"/>
      <c r="V90" s="9"/>
      <c r="Y90" s="9"/>
      <c r="AB90" s="9"/>
      <c r="AE90" s="9"/>
      <c r="AH90" s="9"/>
      <c r="AI90" s="10"/>
      <c r="AK90" s="9"/>
      <c r="AO90" s="23"/>
      <c r="AP90" s="23"/>
      <c r="AX90" s="24"/>
      <c r="AY90" s="24"/>
      <c r="BA90" s="8"/>
      <c r="BB90" s="8"/>
      <c r="BH90" s="23"/>
      <c r="BJ90" s="23"/>
      <c r="BK90" s="23"/>
      <c r="BM90" s="10"/>
      <c r="BN90" s="10"/>
      <c r="BP90" s="8"/>
      <c r="BQ90" s="8"/>
      <c r="BV90" s="23"/>
      <c r="BW90" s="23"/>
      <c r="BY90" s="8"/>
      <c r="BZ90" s="8"/>
      <c r="CA90" s="9"/>
      <c r="CB90" s="23"/>
      <c r="CC90" s="23"/>
      <c r="CD90" s="9"/>
      <c r="CG90" s="9"/>
      <c r="CJ90" s="9"/>
      <c r="CM90" s="9"/>
      <c r="CP90" s="9"/>
      <c r="CS90" s="9"/>
      <c r="CV90" s="9"/>
      <c r="CY90" s="9"/>
      <c r="DB90" s="9"/>
      <c r="DE90" s="9"/>
      <c r="DH90" s="9"/>
      <c r="DK90" s="9"/>
      <c r="DN90" s="9"/>
      <c r="DQ90" s="9"/>
      <c r="DT90" s="9"/>
      <c r="DW90" s="9"/>
      <c r="DX90" s="8"/>
      <c r="DY90" s="8"/>
      <c r="DZ90" s="9"/>
      <c r="EA90" s="8"/>
      <c r="EC90" s="9"/>
      <c r="EF90" s="9"/>
      <c r="EI90" s="9"/>
      <c r="EL90" s="9"/>
      <c r="EO90" s="9"/>
      <c r="ER90" s="9"/>
      <c r="EU90" s="9"/>
      <c r="EX90" s="9"/>
      <c r="FA90" s="9"/>
      <c r="FD90" s="9"/>
      <c r="FG90" s="9"/>
      <c r="FJ90" s="9"/>
      <c r="FK90" s="8"/>
      <c r="FM90" s="9"/>
      <c r="FP90" s="9"/>
      <c r="FS90" s="9"/>
      <c r="FY90" s="9"/>
      <c r="GC90" s="8"/>
      <c r="GD90" s="8"/>
      <c r="GE90" s="9"/>
      <c r="GF90" s="8"/>
      <c r="GG90" s="8"/>
      <c r="GH90" s="9"/>
      <c r="GK90" s="9"/>
      <c r="GS90" s="8"/>
      <c r="GT90" s="8"/>
      <c r="HC90" s="9"/>
    </row>
    <row r="91" ht="15.75" customHeight="1">
      <c r="A91" s="1"/>
      <c r="D91" s="9"/>
      <c r="G91" s="9"/>
      <c r="J91" s="9"/>
      <c r="M91" s="9"/>
      <c r="P91" s="9"/>
      <c r="V91" s="9"/>
      <c r="Y91" s="9"/>
      <c r="AB91" s="9"/>
      <c r="AE91" s="9"/>
      <c r="AH91" s="9"/>
      <c r="AI91" s="10"/>
      <c r="AK91" s="9"/>
      <c r="AO91" s="23"/>
      <c r="AP91" s="23"/>
      <c r="AX91" s="24"/>
      <c r="AY91" s="24"/>
      <c r="BA91" s="8"/>
      <c r="BB91" s="8"/>
      <c r="BH91" s="23"/>
      <c r="BJ91" s="23"/>
      <c r="BK91" s="23"/>
      <c r="BM91" s="10"/>
      <c r="BN91" s="10"/>
      <c r="BP91" s="8"/>
      <c r="BQ91" s="8"/>
      <c r="BV91" s="23"/>
      <c r="BW91" s="23"/>
      <c r="BY91" s="8"/>
      <c r="BZ91" s="8"/>
      <c r="CA91" s="9"/>
      <c r="CB91" s="23"/>
      <c r="CC91" s="23"/>
      <c r="CD91" s="9"/>
      <c r="CG91" s="9"/>
      <c r="CJ91" s="9"/>
      <c r="CM91" s="9"/>
      <c r="CP91" s="9"/>
      <c r="CS91" s="9"/>
      <c r="CV91" s="9"/>
      <c r="CY91" s="9"/>
      <c r="DB91" s="9"/>
      <c r="DE91" s="9"/>
      <c r="DH91" s="9"/>
      <c r="DK91" s="9"/>
      <c r="DN91" s="9"/>
      <c r="DQ91" s="9"/>
      <c r="DT91" s="9"/>
      <c r="DW91" s="9"/>
      <c r="DX91" s="8"/>
      <c r="DY91" s="8"/>
      <c r="DZ91" s="9"/>
      <c r="EA91" s="8"/>
      <c r="EC91" s="9"/>
      <c r="EF91" s="9"/>
      <c r="EI91" s="9"/>
      <c r="EL91" s="9"/>
      <c r="EO91" s="9"/>
      <c r="ER91" s="9"/>
      <c r="EU91" s="9"/>
      <c r="EX91" s="9"/>
      <c r="FA91" s="9"/>
      <c r="FD91" s="9"/>
      <c r="FG91" s="9"/>
      <c r="FJ91" s="9"/>
      <c r="FK91" s="8"/>
      <c r="FM91" s="9"/>
      <c r="FP91" s="9"/>
      <c r="FS91" s="9"/>
      <c r="FY91" s="9"/>
      <c r="GC91" s="8"/>
      <c r="GD91" s="8"/>
      <c r="GE91" s="9"/>
      <c r="GF91" s="8"/>
      <c r="GG91" s="8"/>
      <c r="GH91" s="9"/>
      <c r="GK91" s="9"/>
      <c r="GS91" s="8"/>
      <c r="GT91" s="8"/>
      <c r="HC91" s="9"/>
    </row>
    <row r="92" ht="15.75" customHeight="1">
      <c r="A92" s="1"/>
      <c r="D92" s="9"/>
      <c r="G92" s="9"/>
      <c r="J92" s="9"/>
      <c r="M92" s="9"/>
      <c r="P92" s="9"/>
      <c r="V92" s="9"/>
      <c r="Y92" s="9"/>
      <c r="AB92" s="9"/>
      <c r="AE92" s="9"/>
      <c r="AH92" s="9"/>
      <c r="AI92" s="10"/>
      <c r="AK92" s="9"/>
      <c r="AO92" s="23"/>
      <c r="AP92" s="23"/>
      <c r="AX92" s="24"/>
      <c r="AY92" s="24"/>
      <c r="BA92" s="8"/>
      <c r="BB92" s="8"/>
      <c r="BH92" s="23"/>
      <c r="BJ92" s="23"/>
      <c r="BK92" s="23"/>
      <c r="BM92" s="10"/>
      <c r="BN92" s="10"/>
      <c r="BP92" s="8"/>
      <c r="BQ92" s="8"/>
      <c r="BV92" s="23"/>
      <c r="BW92" s="23"/>
      <c r="BY92" s="8"/>
      <c r="BZ92" s="8"/>
      <c r="CA92" s="9"/>
      <c r="CB92" s="23"/>
      <c r="CC92" s="23"/>
      <c r="CD92" s="9"/>
      <c r="CG92" s="9"/>
      <c r="CJ92" s="9"/>
      <c r="CM92" s="9"/>
      <c r="CP92" s="9"/>
      <c r="CS92" s="9"/>
      <c r="CV92" s="9"/>
      <c r="CY92" s="9"/>
      <c r="DB92" s="9"/>
      <c r="DE92" s="9"/>
      <c r="DH92" s="9"/>
      <c r="DK92" s="9"/>
      <c r="DN92" s="9"/>
      <c r="DQ92" s="9"/>
      <c r="DT92" s="9"/>
      <c r="DW92" s="9"/>
      <c r="DX92" s="8"/>
      <c r="DY92" s="8"/>
      <c r="DZ92" s="9"/>
      <c r="EA92" s="8"/>
      <c r="EC92" s="9"/>
      <c r="EF92" s="9"/>
      <c r="EI92" s="9"/>
      <c r="EL92" s="9"/>
      <c r="EO92" s="9"/>
      <c r="ER92" s="9"/>
      <c r="EU92" s="9"/>
      <c r="EX92" s="9"/>
      <c r="FA92" s="9"/>
      <c r="FD92" s="9"/>
      <c r="FG92" s="9"/>
      <c r="FJ92" s="9"/>
      <c r="FK92" s="8"/>
      <c r="FM92" s="9"/>
      <c r="FP92" s="9"/>
      <c r="FS92" s="9"/>
      <c r="FY92" s="9"/>
      <c r="GC92" s="8"/>
      <c r="GD92" s="8"/>
      <c r="GE92" s="9"/>
      <c r="GF92" s="8"/>
      <c r="GG92" s="8"/>
      <c r="GH92" s="9"/>
      <c r="GK92" s="9"/>
      <c r="GS92" s="8"/>
      <c r="GT92" s="8"/>
      <c r="HC92" s="9"/>
    </row>
    <row r="93" ht="15.75" customHeight="1">
      <c r="A93" s="1"/>
      <c r="D93" s="9"/>
      <c r="G93" s="9"/>
      <c r="J93" s="9"/>
      <c r="M93" s="9"/>
      <c r="P93" s="9"/>
      <c r="V93" s="9"/>
      <c r="Y93" s="9"/>
      <c r="AB93" s="9"/>
      <c r="AE93" s="9"/>
      <c r="AH93" s="9"/>
      <c r="AI93" s="10"/>
      <c r="AK93" s="9"/>
      <c r="AO93" s="23"/>
      <c r="AP93" s="23"/>
      <c r="AX93" s="24"/>
      <c r="AY93" s="24"/>
      <c r="BA93" s="8"/>
      <c r="BB93" s="8"/>
      <c r="BH93" s="23"/>
      <c r="BJ93" s="23"/>
      <c r="BK93" s="23"/>
      <c r="BM93" s="10"/>
      <c r="BN93" s="10"/>
      <c r="BP93" s="8"/>
      <c r="BQ93" s="8"/>
      <c r="BV93" s="23"/>
      <c r="BW93" s="23"/>
      <c r="BY93" s="8"/>
      <c r="BZ93" s="8"/>
      <c r="CA93" s="9"/>
      <c r="CB93" s="23"/>
      <c r="CC93" s="23"/>
      <c r="CD93" s="9"/>
      <c r="CG93" s="9"/>
      <c r="CJ93" s="9"/>
      <c r="CM93" s="9"/>
      <c r="CP93" s="9"/>
      <c r="CS93" s="9"/>
      <c r="CV93" s="9"/>
      <c r="CY93" s="9"/>
      <c r="DB93" s="9"/>
      <c r="DE93" s="9"/>
      <c r="DH93" s="9"/>
      <c r="DK93" s="9"/>
      <c r="DN93" s="9"/>
      <c r="DQ93" s="9"/>
      <c r="DT93" s="9"/>
      <c r="DW93" s="9"/>
      <c r="DX93" s="8"/>
      <c r="DY93" s="8"/>
      <c r="DZ93" s="9"/>
      <c r="EA93" s="8"/>
      <c r="EC93" s="9"/>
      <c r="EF93" s="9"/>
      <c r="EI93" s="9"/>
      <c r="EL93" s="9"/>
      <c r="EO93" s="9"/>
      <c r="ER93" s="9"/>
      <c r="EU93" s="9"/>
      <c r="EX93" s="9"/>
      <c r="FA93" s="9"/>
      <c r="FD93" s="9"/>
      <c r="FG93" s="9"/>
      <c r="FJ93" s="9"/>
      <c r="FK93" s="8"/>
      <c r="FM93" s="9"/>
      <c r="FP93" s="9"/>
      <c r="FS93" s="9"/>
      <c r="FY93" s="9"/>
      <c r="GC93" s="8"/>
      <c r="GD93" s="8"/>
      <c r="GE93" s="9"/>
      <c r="GF93" s="8"/>
      <c r="GG93" s="8"/>
      <c r="GH93" s="9"/>
      <c r="GK93" s="9"/>
      <c r="GS93" s="8"/>
      <c r="GT93" s="8"/>
      <c r="HC93" s="9"/>
    </row>
    <row r="94" ht="15.75" customHeight="1">
      <c r="A94" s="1"/>
      <c r="D94" s="9"/>
      <c r="G94" s="9"/>
      <c r="J94" s="9"/>
      <c r="M94" s="9"/>
      <c r="P94" s="9"/>
      <c r="V94" s="9"/>
      <c r="Y94" s="9"/>
      <c r="AB94" s="9"/>
      <c r="AE94" s="9"/>
      <c r="AH94" s="9"/>
      <c r="AI94" s="10"/>
      <c r="AK94" s="9"/>
      <c r="AO94" s="23"/>
      <c r="AP94" s="23"/>
      <c r="AX94" s="24"/>
      <c r="AY94" s="24"/>
      <c r="BA94" s="8"/>
      <c r="BB94" s="8"/>
      <c r="BH94" s="23"/>
      <c r="BJ94" s="23"/>
      <c r="BK94" s="23"/>
      <c r="BM94" s="10"/>
      <c r="BN94" s="10"/>
      <c r="BP94" s="8"/>
      <c r="BQ94" s="8"/>
      <c r="BV94" s="23"/>
      <c r="BW94" s="23"/>
      <c r="BY94" s="8"/>
      <c r="BZ94" s="8"/>
      <c r="CA94" s="9"/>
      <c r="CB94" s="23"/>
      <c r="CC94" s="23"/>
      <c r="CD94" s="9"/>
      <c r="CG94" s="9"/>
      <c r="CJ94" s="9"/>
      <c r="CM94" s="9"/>
      <c r="CP94" s="9"/>
      <c r="CS94" s="9"/>
      <c r="CV94" s="9"/>
      <c r="CY94" s="9"/>
      <c r="DB94" s="9"/>
      <c r="DE94" s="9"/>
      <c r="DH94" s="9"/>
      <c r="DK94" s="9"/>
      <c r="DN94" s="9"/>
      <c r="DQ94" s="9"/>
      <c r="DT94" s="9"/>
      <c r="DW94" s="9"/>
      <c r="DX94" s="8"/>
      <c r="DY94" s="8"/>
      <c r="DZ94" s="9"/>
      <c r="EA94" s="8"/>
      <c r="EC94" s="9"/>
      <c r="EF94" s="9"/>
      <c r="EI94" s="9"/>
      <c r="EL94" s="9"/>
      <c r="EO94" s="9"/>
      <c r="ER94" s="9"/>
      <c r="EU94" s="9"/>
      <c r="EX94" s="9"/>
      <c r="FA94" s="9"/>
      <c r="FD94" s="9"/>
      <c r="FG94" s="9"/>
      <c r="FJ94" s="9"/>
      <c r="FK94" s="8"/>
      <c r="FM94" s="9"/>
      <c r="FP94" s="9"/>
      <c r="FS94" s="9"/>
      <c r="FY94" s="9"/>
      <c r="GC94" s="8"/>
      <c r="GD94" s="8"/>
      <c r="GE94" s="9"/>
      <c r="GF94" s="8"/>
      <c r="GG94" s="8"/>
      <c r="GH94" s="9"/>
      <c r="GK94" s="9"/>
      <c r="GS94" s="8"/>
      <c r="GT94" s="8"/>
      <c r="HC94" s="9"/>
    </row>
    <row r="95" ht="15.75" customHeight="1">
      <c r="A95" s="1"/>
      <c r="D95" s="9"/>
      <c r="G95" s="9"/>
      <c r="J95" s="9"/>
      <c r="M95" s="9"/>
      <c r="P95" s="9"/>
      <c r="V95" s="9"/>
      <c r="Y95" s="9"/>
      <c r="AB95" s="9"/>
      <c r="AE95" s="9"/>
      <c r="AH95" s="9"/>
      <c r="AI95" s="10"/>
      <c r="AK95" s="9"/>
      <c r="AO95" s="23"/>
      <c r="AP95" s="23"/>
      <c r="AX95" s="24"/>
      <c r="AY95" s="24"/>
      <c r="BA95" s="8"/>
      <c r="BB95" s="8"/>
      <c r="BH95" s="23"/>
      <c r="BJ95" s="23"/>
      <c r="BK95" s="23"/>
      <c r="BM95" s="10"/>
      <c r="BN95" s="10"/>
      <c r="BP95" s="8"/>
      <c r="BQ95" s="8"/>
      <c r="BV95" s="23"/>
      <c r="BW95" s="23"/>
      <c r="BY95" s="8"/>
      <c r="BZ95" s="8"/>
      <c r="CA95" s="9"/>
      <c r="CB95" s="23"/>
      <c r="CC95" s="23"/>
      <c r="CD95" s="9"/>
      <c r="CG95" s="9"/>
      <c r="CJ95" s="9"/>
      <c r="CM95" s="9"/>
      <c r="CP95" s="9"/>
      <c r="CS95" s="9"/>
      <c r="CV95" s="9"/>
      <c r="CY95" s="9"/>
      <c r="DB95" s="9"/>
      <c r="DE95" s="9"/>
      <c r="DH95" s="9"/>
      <c r="DK95" s="9"/>
      <c r="DN95" s="9"/>
      <c r="DQ95" s="9"/>
      <c r="DT95" s="9"/>
      <c r="DW95" s="9"/>
      <c r="DX95" s="8"/>
      <c r="DY95" s="8"/>
      <c r="DZ95" s="9"/>
      <c r="EA95" s="8"/>
      <c r="EC95" s="9"/>
      <c r="EF95" s="9"/>
      <c r="EI95" s="9"/>
      <c r="EL95" s="9"/>
      <c r="EO95" s="9"/>
      <c r="ER95" s="9"/>
      <c r="EU95" s="9"/>
      <c r="EX95" s="9"/>
      <c r="FA95" s="9"/>
      <c r="FD95" s="9"/>
      <c r="FG95" s="9"/>
      <c r="FJ95" s="9"/>
      <c r="FK95" s="8"/>
      <c r="FM95" s="9"/>
      <c r="FP95" s="9"/>
      <c r="FS95" s="9"/>
      <c r="FY95" s="9"/>
      <c r="GC95" s="8"/>
      <c r="GD95" s="8"/>
      <c r="GE95" s="9"/>
      <c r="GF95" s="8"/>
      <c r="GG95" s="8"/>
      <c r="GH95" s="9"/>
      <c r="GK95" s="9"/>
      <c r="GS95" s="8"/>
      <c r="GT95" s="8"/>
      <c r="HC95" s="9"/>
    </row>
    <row r="96" ht="15.75" customHeight="1">
      <c r="A96" s="1"/>
      <c r="D96" s="9"/>
      <c r="G96" s="9"/>
      <c r="J96" s="9"/>
      <c r="M96" s="9"/>
      <c r="P96" s="9"/>
      <c r="V96" s="9"/>
      <c r="Y96" s="9"/>
      <c r="AB96" s="9"/>
      <c r="AE96" s="9"/>
      <c r="AH96" s="9"/>
      <c r="AI96" s="10"/>
      <c r="AK96" s="9"/>
      <c r="AO96" s="23"/>
      <c r="AP96" s="23"/>
      <c r="AX96" s="24"/>
      <c r="AY96" s="24"/>
      <c r="BA96" s="8"/>
      <c r="BB96" s="8"/>
      <c r="BH96" s="23"/>
      <c r="BJ96" s="23"/>
      <c r="BK96" s="23"/>
      <c r="BM96" s="10"/>
      <c r="BN96" s="10"/>
      <c r="BP96" s="8"/>
      <c r="BQ96" s="8"/>
      <c r="BV96" s="23"/>
      <c r="BW96" s="23"/>
      <c r="BY96" s="8"/>
      <c r="BZ96" s="8"/>
      <c r="CA96" s="9"/>
      <c r="CB96" s="23"/>
      <c r="CC96" s="23"/>
      <c r="CD96" s="9"/>
      <c r="CG96" s="9"/>
      <c r="CJ96" s="9"/>
      <c r="CM96" s="9"/>
      <c r="CP96" s="9"/>
      <c r="CS96" s="9"/>
      <c r="CV96" s="9"/>
      <c r="CY96" s="9"/>
      <c r="DB96" s="9"/>
      <c r="DE96" s="9"/>
      <c r="DH96" s="9"/>
      <c r="DK96" s="9"/>
      <c r="DN96" s="9"/>
      <c r="DQ96" s="9"/>
      <c r="DT96" s="9"/>
      <c r="DW96" s="9"/>
      <c r="DX96" s="8"/>
      <c r="DY96" s="8"/>
      <c r="DZ96" s="9"/>
      <c r="EA96" s="8"/>
      <c r="EC96" s="9"/>
      <c r="EF96" s="9"/>
      <c r="EI96" s="9"/>
      <c r="EL96" s="9"/>
      <c r="EO96" s="9"/>
      <c r="ER96" s="9"/>
      <c r="EU96" s="9"/>
      <c r="EX96" s="9"/>
      <c r="FA96" s="9"/>
      <c r="FD96" s="9"/>
      <c r="FG96" s="9"/>
      <c r="FJ96" s="9"/>
      <c r="FK96" s="8"/>
      <c r="FM96" s="9"/>
      <c r="FP96" s="9"/>
      <c r="FS96" s="9"/>
      <c r="FY96" s="9"/>
      <c r="GC96" s="8"/>
      <c r="GD96" s="8"/>
      <c r="GE96" s="9"/>
      <c r="GF96" s="8"/>
      <c r="GG96" s="8"/>
      <c r="GH96" s="9"/>
      <c r="GK96" s="9"/>
      <c r="GS96" s="8"/>
      <c r="GT96" s="8"/>
      <c r="HC96" s="9"/>
    </row>
    <row r="97" ht="15.75" customHeight="1">
      <c r="A97" s="1"/>
      <c r="D97" s="9"/>
      <c r="G97" s="9"/>
      <c r="J97" s="9"/>
      <c r="M97" s="9"/>
      <c r="P97" s="9"/>
      <c r="V97" s="9"/>
      <c r="Y97" s="9"/>
      <c r="AB97" s="9"/>
      <c r="AE97" s="9"/>
      <c r="AH97" s="9"/>
      <c r="AI97" s="10"/>
      <c r="AK97" s="9"/>
      <c r="AO97" s="23"/>
      <c r="AP97" s="23"/>
      <c r="AX97" s="24"/>
      <c r="AY97" s="24"/>
      <c r="BA97" s="8"/>
      <c r="BB97" s="8"/>
      <c r="BH97" s="23"/>
      <c r="BJ97" s="23"/>
      <c r="BK97" s="23"/>
      <c r="BM97" s="10"/>
      <c r="BN97" s="10"/>
      <c r="BP97" s="8"/>
      <c r="BQ97" s="8"/>
      <c r="BV97" s="23"/>
      <c r="BW97" s="23"/>
      <c r="BY97" s="8"/>
      <c r="BZ97" s="8"/>
      <c r="CA97" s="9"/>
      <c r="CB97" s="23"/>
      <c r="CC97" s="23"/>
      <c r="CD97" s="9"/>
      <c r="CG97" s="9"/>
      <c r="CJ97" s="9"/>
      <c r="CM97" s="9"/>
      <c r="CP97" s="9"/>
      <c r="CS97" s="9"/>
      <c r="CV97" s="9"/>
      <c r="CY97" s="9"/>
      <c r="DB97" s="9"/>
      <c r="DE97" s="9"/>
      <c r="DH97" s="9"/>
      <c r="DK97" s="9"/>
      <c r="DN97" s="9"/>
      <c r="DQ97" s="9"/>
      <c r="DT97" s="9"/>
      <c r="DW97" s="9"/>
      <c r="DX97" s="8"/>
      <c r="DY97" s="8"/>
      <c r="DZ97" s="9"/>
      <c r="EA97" s="8"/>
      <c r="EC97" s="9"/>
      <c r="EF97" s="9"/>
      <c r="EI97" s="9"/>
      <c r="EL97" s="9"/>
      <c r="EO97" s="9"/>
      <c r="ER97" s="9"/>
      <c r="EU97" s="9"/>
      <c r="EX97" s="9"/>
      <c r="FA97" s="9"/>
      <c r="FD97" s="9"/>
      <c r="FG97" s="9"/>
      <c r="FJ97" s="9"/>
      <c r="FK97" s="8"/>
      <c r="FM97" s="9"/>
      <c r="FP97" s="9"/>
      <c r="FS97" s="9"/>
      <c r="FY97" s="9"/>
      <c r="GC97" s="8"/>
      <c r="GD97" s="8"/>
      <c r="GE97" s="9"/>
      <c r="GF97" s="8"/>
      <c r="GG97" s="8"/>
      <c r="GH97" s="9"/>
      <c r="GK97" s="9"/>
      <c r="GS97" s="8"/>
      <c r="GT97" s="8"/>
      <c r="HC97" s="9"/>
    </row>
    <row r="98" ht="15.75" customHeight="1">
      <c r="A98" s="1"/>
      <c r="D98" s="9"/>
      <c r="G98" s="9"/>
      <c r="J98" s="9"/>
      <c r="M98" s="9"/>
      <c r="P98" s="9"/>
      <c r="V98" s="9"/>
      <c r="Y98" s="9"/>
      <c r="AB98" s="9"/>
      <c r="AE98" s="9"/>
      <c r="AH98" s="9"/>
      <c r="AI98" s="10"/>
      <c r="AK98" s="9"/>
      <c r="AO98" s="23"/>
      <c r="AP98" s="23"/>
      <c r="AX98" s="24"/>
      <c r="AY98" s="24"/>
      <c r="BA98" s="8"/>
      <c r="BB98" s="8"/>
      <c r="BH98" s="23"/>
      <c r="BJ98" s="23"/>
      <c r="BK98" s="23"/>
      <c r="BM98" s="10"/>
      <c r="BN98" s="10"/>
      <c r="BP98" s="8"/>
      <c r="BQ98" s="8"/>
      <c r="BV98" s="23"/>
      <c r="BW98" s="23"/>
      <c r="BY98" s="8"/>
      <c r="BZ98" s="8"/>
      <c r="CA98" s="9"/>
      <c r="CB98" s="23"/>
      <c r="CC98" s="23"/>
      <c r="CD98" s="9"/>
      <c r="CG98" s="9"/>
      <c r="CJ98" s="9"/>
      <c r="CM98" s="9"/>
      <c r="CP98" s="9"/>
      <c r="CS98" s="9"/>
      <c r="CV98" s="9"/>
      <c r="CY98" s="9"/>
      <c r="DB98" s="9"/>
      <c r="DE98" s="9"/>
      <c r="DH98" s="9"/>
      <c r="DK98" s="9"/>
      <c r="DN98" s="9"/>
      <c r="DQ98" s="9"/>
      <c r="DT98" s="9"/>
      <c r="DW98" s="9"/>
      <c r="DX98" s="8"/>
      <c r="DY98" s="8"/>
      <c r="DZ98" s="9"/>
      <c r="EA98" s="8"/>
      <c r="EC98" s="9"/>
      <c r="EF98" s="9"/>
      <c r="EI98" s="9"/>
      <c r="EL98" s="9"/>
      <c r="EO98" s="9"/>
      <c r="ER98" s="9"/>
      <c r="EU98" s="9"/>
      <c r="EX98" s="9"/>
      <c r="FA98" s="9"/>
      <c r="FD98" s="9"/>
      <c r="FG98" s="9"/>
      <c r="FJ98" s="9"/>
      <c r="FK98" s="8"/>
      <c r="FM98" s="9"/>
      <c r="FP98" s="9"/>
      <c r="FS98" s="9"/>
      <c r="FY98" s="9"/>
      <c r="GC98" s="8"/>
      <c r="GD98" s="8"/>
      <c r="GE98" s="9"/>
      <c r="GF98" s="8"/>
      <c r="GG98" s="8"/>
      <c r="GH98" s="9"/>
      <c r="GK98" s="9"/>
      <c r="GS98" s="8"/>
      <c r="GT98" s="8"/>
      <c r="HC98" s="9"/>
    </row>
    <row r="99" ht="15.75" customHeight="1">
      <c r="A99" s="1"/>
      <c r="D99" s="9"/>
      <c r="G99" s="9"/>
      <c r="J99" s="9"/>
      <c r="M99" s="9"/>
      <c r="P99" s="9"/>
      <c r="V99" s="9"/>
      <c r="Y99" s="9"/>
      <c r="AB99" s="9"/>
      <c r="AE99" s="9"/>
      <c r="AH99" s="9"/>
      <c r="AI99" s="10"/>
      <c r="AK99" s="9"/>
      <c r="AO99" s="23"/>
      <c r="AP99" s="23"/>
      <c r="AX99" s="24"/>
      <c r="AY99" s="24"/>
      <c r="BA99" s="8"/>
      <c r="BB99" s="8"/>
      <c r="BH99" s="23"/>
      <c r="BJ99" s="23"/>
      <c r="BK99" s="23"/>
      <c r="BM99" s="10"/>
      <c r="BN99" s="10"/>
      <c r="BP99" s="8"/>
      <c r="BQ99" s="8"/>
      <c r="BV99" s="23"/>
      <c r="BW99" s="23"/>
      <c r="BY99" s="8"/>
      <c r="BZ99" s="8"/>
      <c r="CA99" s="9"/>
      <c r="CB99" s="23"/>
      <c r="CC99" s="23"/>
      <c r="CD99" s="9"/>
      <c r="CG99" s="9"/>
      <c r="CJ99" s="9"/>
      <c r="CM99" s="9"/>
      <c r="CP99" s="9"/>
      <c r="CS99" s="9"/>
      <c r="CV99" s="9"/>
      <c r="CY99" s="9"/>
      <c r="DB99" s="9"/>
      <c r="DE99" s="9"/>
      <c r="DH99" s="9"/>
      <c r="DK99" s="9"/>
      <c r="DN99" s="9"/>
      <c r="DQ99" s="9"/>
      <c r="DT99" s="9"/>
      <c r="DW99" s="9"/>
      <c r="DX99" s="8"/>
      <c r="DY99" s="8"/>
      <c r="DZ99" s="9"/>
      <c r="EA99" s="8"/>
      <c r="EC99" s="9"/>
      <c r="EF99" s="9"/>
      <c r="EI99" s="9"/>
      <c r="EL99" s="9"/>
      <c r="EO99" s="9"/>
      <c r="ER99" s="9"/>
      <c r="EU99" s="9"/>
      <c r="EX99" s="9"/>
      <c r="FA99" s="9"/>
      <c r="FD99" s="9"/>
      <c r="FG99" s="9"/>
      <c r="FJ99" s="9"/>
      <c r="FK99" s="8"/>
      <c r="FM99" s="9"/>
      <c r="FP99" s="9"/>
      <c r="FS99" s="9"/>
      <c r="FY99" s="9"/>
      <c r="GC99" s="8"/>
      <c r="GD99" s="8"/>
      <c r="GE99" s="9"/>
      <c r="GF99" s="8"/>
      <c r="GG99" s="8"/>
      <c r="GH99" s="9"/>
      <c r="GK99" s="9"/>
      <c r="GS99" s="8"/>
      <c r="GT99" s="8"/>
      <c r="HC99" s="9"/>
    </row>
    <row r="100" ht="15.75" customHeight="1">
      <c r="A100" s="1"/>
      <c r="D100" s="9"/>
      <c r="G100" s="9"/>
      <c r="J100" s="9"/>
      <c r="M100" s="9"/>
      <c r="P100" s="9"/>
      <c r="V100" s="9"/>
      <c r="Y100" s="9"/>
      <c r="AB100" s="9"/>
      <c r="AE100" s="9"/>
      <c r="AH100" s="9"/>
      <c r="AI100" s="10"/>
      <c r="AK100" s="9"/>
      <c r="AO100" s="23"/>
      <c r="AP100" s="23"/>
      <c r="AX100" s="24"/>
      <c r="AY100" s="24"/>
      <c r="BA100" s="8"/>
      <c r="BB100" s="8"/>
      <c r="BH100" s="23"/>
      <c r="BJ100" s="23"/>
      <c r="BK100" s="23"/>
      <c r="BM100" s="10"/>
      <c r="BN100" s="10"/>
      <c r="BP100" s="8"/>
      <c r="BQ100" s="8"/>
      <c r="BV100" s="23"/>
      <c r="BW100" s="23"/>
      <c r="BY100" s="8"/>
      <c r="BZ100" s="8"/>
      <c r="CA100" s="9"/>
      <c r="CB100" s="23"/>
      <c r="CC100" s="23"/>
      <c r="CD100" s="9"/>
      <c r="CG100" s="9"/>
      <c r="CJ100" s="9"/>
      <c r="CM100" s="9"/>
      <c r="CP100" s="9"/>
      <c r="CS100" s="9"/>
      <c r="CV100" s="9"/>
      <c r="CY100" s="9"/>
      <c r="DB100" s="9"/>
      <c r="DE100" s="9"/>
      <c r="DH100" s="9"/>
      <c r="DK100" s="9"/>
      <c r="DN100" s="9"/>
      <c r="DQ100" s="9"/>
      <c r="DT100" s="9"/>
      <c r="DW100" s="9"/>
      <c r="DX100" s="8"/>
      <c r="DY100" s="8"/>
      <c r="DZ100" s="9"/>
      <c r="EA100" s="8"/>
      <c r="EC100" s="9"/>
      <c r="EF100" s="9"/>
      <c r="EI100" s="9"/>
      <c r="EL100" s="9"/>
      <c r="EO100" s="9"/>
      <c r="ER100" s="9"/>
      <c r="EU100" s="9"/>
      <c r="EX100" s="9"/>
      <c r="FA100" s="9"/>
      <c r="FD100" s="9"/>
      <c r="FG100" s="9"/>
      <c r="FJ100" s="9"/>
      <c r="FK100" s="8"/>
      <c r="FM100" s="9"/>
      <c r="FP100" s="9"/>
      <c r="FS100" s="9"/>
      <c r="FY100" s="9"/>
      <c r="GC100" s="8"/>
      <c r="GD100" s="8"/>
      <c r="GE100" s="9"/>
      <c r="GF100" s="8"/>
      <c r="GG100" s="8"/>
      <c r="GH100" s="9"/>
      <c r="GK100" s="9"/>
      <c r="GS100" s="8"/>
      <c r="GT100" s="8"/>
      <c r="HC100" s="9"/>
    </row>
    <row r="101" ht="15.75" customHeight="1">
      <c r="A101" s="1"/>
      <c r="D101" s="9"/>
      <c r="G101" s="9"/>
      <c r="J101" s="9"/>
      <c r="M101" s="9"/>
      <c r="P101" s="9"/>
      <c r="V101" s="9"/>
      <c r="Y101" s="9"/>
      <c r="AB101" s="9"/>
      <c r="AE101" s="9"/>
      <c r="AH101" s="9"/>
      <c r="AI101" s="10"/>
      <c r="AK101" s="9"/>
      <c r="AO101" s="23"/>
      <c r="AP101" s="23"/>
      <c r="AX101" s="24"/>
      <c r="AY101" s="24"/>
      <c r="BA101" s="8"/>
      <c r="BB101" s="8"/>
      <c r="BH101" s="23"/>
      <c r="BJ101" s="23"/>
      <c r="BK101" s="23"/>
      <c r="BM101" s="10"/>
      <c r="BN101" s="10"/>
      <c r="BP101" s="8"/>
      <c r="BQ101" s="8"/>
      <c r="BV101" s="23"/>
      <c r="BW101" s="23"/>
      <c r="BY101" s="8"/>
      <c r="BZ101" s="8"/>
      <c r="CA101" s="9"/>
      <c r="CB101" s="23"/>
      <c r="CC101" s="23"/>
      <c r="CD101" s="9"/>
      <c r="CG101" s="9"/>
      <c r="CJ101" s="9"/>
      <c r="CM101" s="9"/>
      <c r="CP101" s="9"/>
      <c r="CS101" s="9"/>
      <c r="CV101" s="9"/>
      <c r="CY101" s="9"/>
      <c r="DB101" s="9"/>
      <c r="DE101" s="9"/>
      <c r="DH101" s="9"/>
      <c r="DK101" s="9"/>
      <c r="DN101" s="9"/>
      <c r="DQ101" s="9"/>
      <c r="DT101" s="9"/>
      <c r="DW101" s="9"/>
      <c r="DX101" s="8"/>
      <c r="DY101" s="8"/>
      <c r="DZ101" s="9"/>
      <c r="EA101" s="8"/>
      <c r="EC101" s="9"/>
      <c r="EF101" s="9"/>
      <c r="EI101" s="9"/>
      <c r="EL101" s="9"/>
      <c r="EO101" s="9"/>
      <c r="ER101" s="9"/>
      <c r="EU101" s="9"/>
      <c r="EX101" s="9"/>
      <c r="FA101" s="9"/>
      <c r="FD101" s="9"/>
      <c r="FG101" s="9"/>
      <c r="FJ101" s="9"/>
      <c r="FK101" s="8"/>
      <c r="FM101" s="9"/>
      <c r="FP101" s="9"/>
      <c r="FS101" s="9"/>
      <c r="FY101" s="9"/>
      <c r="GC101" s="8"/>
      <c r="GD101" s="8"/>
      <c r="GE101" s="9"/>
      <c r="GF101" s="8"/>
      <c r="GG101" s="8"/>
      <c r="GH101" s="9"/>
      <c r="GK101" s="9"/>
      <c r="GS101" s="8"/>
      <c r="GT101" s="8"/>
      <c r="HC101" s="9"/>
    </row>
    <row r="102" ht="15.75" customHeight="1">
      <c r="A102" s="1"/>
      <c r="D102" s="9"/>
      <c r="G102" s="9"/>
      <c r="J102" s="9"/>
      <c r="M102" s="9"/>
      <c r="P102" s="9"/>
      <c r="V102" s="9"/>
      <c r="Y102" s="9"/>
      <c r="AB102" s="9"/>
      <c r="AE102" s="9"/>
      <c r="AH102" s="9"/>
      <c r="AI102" s="10"/>
      <c r="AK102" s="9"/>
      <c r="AO102" s="23"/>
      <c r="AP102" s="23"/>
      <c r="AX102" s="24"/>
      <c r="AY102" s="24"/>
      <c r="BA102" s="8"/>
      <c r="BB102" s="8"/>
      <c r="BH102" s="23"/>
      <c r="BJ102" s="23"/>
      <c r="BK102" s="23"/>
      <c r="BM102" s="10"/>
      <c r="BN102" s="10"/>
      <c r="BP102" s="8"/>
      <c r="BQ102" s="8"/>
      <c r="BV102" s="23"/>
      <c r="BW102" s="23"/>
      <c r="BY102" s="8"/>
      <c r="BZ102" s="8"/>
      <c r="CA102" s="9"/>
      <c r="CB102" s="23"/>
      <c r="CC102" s="23"/>
      <c r="CD102" s="9"/>
      <c r="CG102" s="9"/>
      <c r="CJ102" s="9"/>
      <c r="CM102" s="9"/>
      <c r="CP102" s="9"/>
      <c r="CS102" s="9"/>
      <c r="CV102" s="9"/>
      <c r="CY102" s="9"/>
      <c r="DB102" s="9"/>
      <c r="DE102" s="9"/>
      <c r="DH102" s="9"/>
      <c r="DK102" s="9"/>
      <c r="DN102" s="9"/>
      <c r="DQ102" s="9"/>
      <c r="DT102" s="9"/>
      <c r="DW102" s="9"/>
      <c r="DX102" s="8"/>
      <c r="DY102" s="8"/>
      <c r="DZ102" s="9"/>
      <c r="EA102" s="8"/>
      <c r="EC102" s="9"/>
      <c r="EF102" s="9"/>
      <c r="EI102" s="9"/>
      <c r="EL102" s="9"/>
      <c r="EO102" s="9"/>
      <c r="ER102" s="9"/>
      <c r="EU102" s="9"/>
      <c r="EX102" s="9"/>
      <c r="FA102" s="9"/>
      <c r="FD102" s="9"/>
      <c r="FG102" s="9"/>
      <c r="FJ102" s="9"/>
      <c r="FK102" s="8"/>
      <c r="FM102" s="9"/>
      <c r="FP102" s="9"/>
      <c r="FS102" s="9"/>
      <c r="FY102" s="9"/>
      <c r="GC102" s="8"/>
      <c r="GD102" s="8"/>
      <c r="GE102" s="9"/>
      <c r="GF102" s="8"/>
      <c r="GG102" s="8"/>
      <c r="GH102" s="9"/>
      <c r="GK102" s="9"/>
      <c r="GS102" s="8"/>
      <c r="GT102" s="8"/>
      <c r="HC102" s="9"/>
    </row>
    <row r="103" ht="15.75" customHeight="1">
      <c r="A103" s="1"/>
      <c r="D103" s="9"/>
      <c r="G103" s="9"/>
      <c r="J103" s="9"/>
      <c r="M103" s="9"/>
      <c r="P103" s="9"/>
      <c r="V103" s="9"/>
      <c r="Y103" s="9"/>
      <c r="AB103" s="9"/>
      <c r="AE103" s="9"/>
      <c r="AH103" s="9"/>
      <c r="AI103" s="10"/>
      <c r="AK103" s="9"/>
      <c r="AO103" s="23"/>
      <c r="AP103" s="23"/>
      <c r="AX103" s="24"/>
      <c r="AY103" s="24"/>
      <c r="BA103" s="8"/>
      <c r="BB103" s="8"/>
      <c r="BH103" s="23"/>
      <c r="BJ103" s="23"/>
      <c r="BK103" s="23"/>
      <c r="BM103" s="10"/>
      <c r="BN103" s="10"/>
      <c r="BP103" s="8"/>
      <c r="BQ103" s="8"/>
      <c r="BV103" s="23"/>
      <c r="BW103" s="23"/>
      <c r="BY103" s="8"/>
      <c r="BZ103" s="8"/>
      <c r="CA103" s="9"/>
      <c r="CB103" s="23"/>
      <c r="CC103" s="23"/>
      <c r="CD103" s="9"/>
      <c r="CG103" s="9"/>
      <c r="CJ103" s="9"/>
      <c r="CM103" s="9"/>
      <c r="CP103" s="9"/>
      <c r="CS103" s="9"/>
      <c r="CV103" s="9"/>
      <c r="CY103" s="9"/>
      <c r="DB103" s="9"/>
      <c r="DE103" s="9"/>
      <c r="DH103" s="9"/>
      <c r="DK103" s="9"/>
      <c r="DN103" s="9"/>
      <c r="DQ103" s="9"/>
      <c r="DT103" s="9"/>
      <c r="DW103" s="9"/>
      <c r="DX103" s="8"/>
      <c r="DY103" s="8"/>
      <c r="DZ103" s="9"/>
      <c r="EA103" s="8"/>
      <c r="EC103" s="9"/>
      <c r="EF103" s="9"/>
      <c r="EI103" s="9"/>
      <c r="EL103" s="9"/>
      <c r="EO103" s="9"/>
      <c r="ER103" s="9"/>
      <c r="EU103" s="9"/>
      <c r="EX103" s="9"/>
      <c r="FA103" s="9"/>
      <c r="FD103" s="9"/>
      <c r="FG103" s="9"/>
      <c r="FJ103" s="9"/>
      <c r="FK103" s="8"/>
      <c r="FM103" s="9"/>
      <c r="FP103" s="9"/>
      <c r="FS103" s="9"/>
      <c r="FY103" s="9"/>
      <c r="GC103" s="8"/>
      <c r="GD103" s="8"/>
      <c r="GE103" s="9"/>
      <c r="GF103" s="8"/>
      <c r="GG103" s="8"/>
      <c r="GH103" s="9"/>
      <c r="GK103" s="9"/>
      <c r="GS103" s="8"/>
      <c r="GT103" s="8"/>
      <c r="HC103" s="9"/>
    </row>
    <row r="104" ht="15.75" customHeight="1">
      <c r="A104" s="1"/>
      <c r="D104" s="9"/>
      <c r="G104" s="9"/>
      <c r="J104" s="9"/>
      <c r="M104" s="9"/>
      <c r="P104" s="9"/>
      <c r="V104" s="9"/>
      <c r="Y104" s="9"/>
      <c r="AB104" s="9"/>
      <c r="AE104" s="9"/>
      <c r="AH104" s="9"/>
      <c r="AI104" s="10"/>
      <c r="AK104" s="9"/>
      <c r="AO104" s="23"/>
      <c r="AP104" s="23"/>
      <c r="AX104" s="24"/>
      <c r="AY104" s="24"/>
      <c r="BA104" s="8"/>
      <c r="BB104" s="8"/>
      <c r="BH104" s="23"/>
      <c r="BJ104" s="23"/>
      <c r="BK104" s="23"/>
      <c r="BM104" s="10"/>
      <c r="BN104" s="10"/>
      <c r="BP104" s="8"/>
      <c r="BQ104" s="8"/>
      <c r="BV104" s="23"/>
      <c r="BW104" s="23"/>
      <c r="BY104" s="8"/>
      <c r="BZ104" s="8"/>
      <c r="CA104" s="9"/>
      <c r="CB104" s="23"/>
      <c r="CC104" s="23"/>
      <c r="CD104" s="9"/>
      <c r="CG104" s="9"/>
      <c r="CJ104" s="9"/>
      <c r="CM104" s="9"/>
      <c r="CP104" s="9"/>
      <c r="CS104" s="9"/>
      <c r="CV104" s="9"/>
      <c r="CY104" s="9"/>
      <c r="DB104" s="9"/>
      <c r="DE104" s="9"/>
      <c r="DH104" s="9"/>
      <c r="DK104" s="9"/>
      <c r="DN104" s="9"/>
      <c r="DQ104" s="9"/>
      <c r="DT104" s="9"/>
      <c r="DW104" s="9"/>
      <c r="DX104" s="8"/>
      <c r="DY104" s="8"/>
      <c r="DZ104" s="9"/>
      <c r="EA104" s="8"/>
      <c r="EC104" s="9"/>
      <c r="EF104" s="9"/>
      <c r="EI104" s="9"/>
      <c r="EL104" s="9"/>
      <c r="EO104" s="9"/>
      <c r="ER104" s="9"/>
      <c r="EU104" s="9"/>
      <c r="EX104" s="9"/>
      <c r="FA104" s="9"/>
      <c r="FD104" s="9"/>
      <c r="FG104" s="9"/>
      <c r="FJ104" s="9"/>
      <c r="FK104" s="8"/>
      <c r="FM104" s="9"/>
      <c r="FP104" s="9"/>
      <c r="FS104" s="9"/>
      <c r="FY104" s="9"/>
      <c r="GC104" s="8"/>
      <c r="GD104" s="8"/>
      <c r="GE104" s="9"/>
      <c r="GF104" s="8"/>
      <c r="GG104" s="8"/>
      <c r="GH104" s="9"/>
      <c r="GK104" s="9"/>
      <c r="GS104" s="8"/>
      <c r="GT104" s="8"/>
      <c r="HC104" s="9"/>
    </row>
    <row r="105" ht="15.75" customHeight="1">
      <c r="A105" s="1"/>
      <c r="D105" s="9"/>
      <c r="G105" s="9"/>
      <c r="J105" s="9"/>
      <c r="M105" s="9"/>
      <c r="P105" s="9"/>
      <c r="V105" s="9"/>
      <c r="Y105" s="9"/>
      <c r="AB105" s="9"/>
      <c r="AE105" s="9"/>
      <c r="AH105" s="9"/>
      <c r="AI105" s="10"/>
      <c r="AK105" s="9"/>
      <c r="AO105" s="23"/>
      <c r="AP105" s="23"/>
      <c r="AX105" s="24"/>
      <c r="AY105" s="24"/>
      <c r="BA105" s="8"/>
      <c r="BB105" s="8"/>
      <c r="BH105" s="23"/>
      <c r="BJ105" s="23"/>
      <c r="BK105" s="23"/>
      <c r="BM105" s="10"/>
      <c r="BN105" s="10"/>
      <c r="BP105" s="8"/>
      <c r="BQ105" s="8"/>
      <c r="BV105" s="23"/>
      <c r="BW105" s="23"/>
      <c r="BY105" s="8"/>
      <c r="BZ105" s="8"/>
      <c r="CA105" s="9"/>
      <c r="CB105" s="23"/>
      <c r="CC105" s="23"/>
      <c r="CD105" s="9"/>
      <c r="CG105" s="9"/>
      <c r="CJ105" s="9"/>
      <c r="CM105" s="9"/>
      <c r="CP105" s="9"/>
      <c r="CS105" s="9"/>
      <c r="CV105" s="9"/>
      <c r="CY105" s="9"/>
      <c r="DB105" s="9"/>
      <c r="DE105" s="9"/>
      <c r="DH105" s="9"/>
      <c r="DK105" s="9"/>
      <c r="DN105" s="9"/>
      <c r="DQ105" s="9"/>
      <c r="DT105" s="9"/>
      <c r="DW105" s="9"/>
      <c r="DX105" s="8"/>
      <c r="DY105" s="8"/>
      <c r="DZ105" s="9"/>
      <c r="EA105" s="8"/>
      <c r="EC105" s="9"/>
      <c r="EF105" s="9"/>
      <c r="EI105" s="9"/>
      <c r="EL105" s="9"/>
      <c r="EO105" s="9"/>
      <c r="ER105" s="9"/>
      <c r="EU105" s="9"/>
      <c r="EX105" s="9"/>
      <c r="FA105" s="9"/>
      <c r="FD105" s="9"/>
      <c r="FG105" s="9"/>
      <c r="FJ105" s="9"/>
      <c r="FK105" s="8"/>
      <c r="FM105" s="9"/>
      <c r="FP105" s="9"/>
      <c r="FS105" s="9"/>
      <c r="FY105" s="9"/>
      <c r="GC105" s="8"/>
      <c r="GD105" s="8"/>
      <c r="GE105" s="9"/>
      <c r="GF105" s="8"/>
      <c r="GG105" s="8"/>
      <c r="GH105" s="9"/>
      <c r="GK105" s="9"/>
      <c r="GS105" s="8"/>
      <c r="GT105" s="8"/>
      <c r="HC105" s="9"/>
    </row>
    <row r="106" ht="15.75" customHeight="1">
      <c r="A106" s="1"/>
      <c r="D106" s="9"/>
      <c r="G106" s="9"/>
      <c r="J106" s="9"/>
      <c r="M106" s="9"/>
      <c r="P106" s="9"/>
      <c r="V106" s="9"/>
      <c r="Y106" s="9"/>
      <c r="AB106" s="9"/>
      <c r="AE106" s="9"/>
      <c r="AH106" s="9"/>
      <c r="AI106" s="10"/>
      <c r="AK106" s="9"/>
      <c r="AO106" s="23"/>
      <c r="AP106" s="23"/>
      <c r="AX106" s="24"/>
      <c r="AY106" s="24"/>
      <c r="BA106" s="8"/>
      <c r="BB106" s="8"/>
      <c r="BH106" s="23"/>
      <c r="BJ106" s="23"/>
      <c r="BK106" s="23"/>
      <c r="BM106" s="10"/>
      <c r="BN106" s="10"/>
      <c r="BP106" s="8"/>
      <c r="BQ106" s="8"/>
      <c r="BV106" s="23"/>
      <c r="BW106" s="23"/>
      <c r="BY106" s="8"/>
      <c r="BZ106" s="8"/>
      <c r="CA106" s="9"/>
      <c r="CB106" s="23"/>
      <c r="CC106" s="23"/>
      <c r="CD106" s="9"/>
      <c r="CG106" s="9"/>
      <c r="CJ106" s="9"/>
      <c r="CM106" s="9"/>
      <c r="CP106" s="9"/>
      <c r="CS106" s="9"/>
      <c r="CV106" s="9"/>
      <c r="CY106" s="9"/>
      <c r="DB106" s="9"/>
      <c r="DE106" s="9"/>
      <c r="DH106" s="9"/>
      <c r="DK106" s="9"/>
      <c r="DN106" s="9"/>
      <c r="DQ106" s="9"/>
      <c r="DT106" s="9"/>
      <c r="DW106" s="9"/>
      <c r="DX106" s="8"/>
      <c r="DY106" s="8"/>
      <c r="DZ106" s="9"/>
      <c r="EA106" s="8"/>
      <c r="EC106" s="9"/>
      <c r="EF106" s="9"/>
      <c r="EI106" s="9"/>
      <c r="EL106" s="9"/>
      <c r="EO106" s="9"/>
      <c r="ER106" s="9"/>
      <c r="EU106" s="9"/>
      <c r="EX106" s="9"/>
      <c r="FA106" s="9"/>
      <c r="FD106" s="9"/>
      <c r="FG106" s="9"/>
      <c r="FJ106" s="9"/>
      <c r="FK106" s="8"/>
      <c r="FM106" s="9"/>
      <c r="FP106" s="9"/>
      <c r="FS106" s="9"/>
      <c r="FY106" s="9"/>
      <c r="GC106" s="8"/>
      <c r="GD106" s="8"/>
      <c r="GE106" s="9"/>
      <c r="GF106" s="8"/>
      <c r="GG106" s="8"/>
      <c r="GH106" s="9"/>
      <c r="GK106" s="9"/>
      <c r="GS106" s="8"/>
      <c r="GT106" s="8"/>
      <c r="HC106" s="9"/>
    </row>
    <row r="107" ht="15.75" customHeight="1">
      <c r="A107" s="1"/>
      <c r="D107" s="9"/>
      <c r="G107" s="9"/>
      <c r="J107" s="9"/>
      <c r="M107" s="9"/>
      <c r="P107" s="9"/>
      <c r="V107" s="9"/>
      <c r="Y107" s="9"/>
      <c r="AB107" s="9"/>
      <c r="AE107" s="9"/>
      <c r="AH107" s="9"/>
      <c r="AI107" s="10"/>
      <c r="AK107" s="9"/>
      <c r="AO107" s="23"/>
      <c r="AP107" s="23"/>
      <c r="AX107" s="24"/>
      <c r="AY107" s="24"/>
      <c r="BA107" s="8"/>
      <c r="BB107" s="8"/>
      <c r="BH107" s="23"/>
      <c r="BJ107" s="23"/>
      <c r="BK107" s="23"/>
      <c r="BM107" s="10"/>
      <c r="BN107" s="10"/>
      <c r="BP107" s="8"/>
      <c r="BQ107" s="8"/>
      <c r="BV107" s="23"/>
      <c r="BW107" s="23"/>
      <c r="BY107" s="8"/>
      <c r="BZ107" s="8"/>
      <c r="CA107" s="9"/>
      <c r="CB107" s="23"/>
      <c r="CC107" s="23"/>
      <c r="CD107" s="9"/>
      <c r="CG107" s="9"/>
      <c r="CJ107" s="9"/>
      <c r="CM107" s="9"/>
      <c r="CP107" s="9"/>
      <c r="CS107" s="9"/>
      <c r="CV107" s="9"/>
      <c r="CY107" s="9"/>
      <c r="DB107" s="9"/>
      <c r="DE107" s="9"/>
      <c r="DH107" s="9"/>
      <c r="DK107" s="9"/>
      <c r="DN107" s="9"/>
      <c r="DQ107" s="9"/>
      <c r="DT107" s="9"/>
      <c r="DW107" s="9"/>
      <c r="DX107" s="8"/>
      <c r="DY107" s="8"/>
      <c r="DZ107" s="9"/>
      <c r="EA107" s="8"/>
      <c r="EC107" s="9"/>
      <c r="EF107" s="9"/>
      <c r="EI107" s="9"/>
      <c r="EL107" s="9"/>
      <c r="EO107" s="9"/>
      <c r="ER107" s="9"/>
      <c r="EU107" s="9"/>
      <c r="EX107" s="9"/>
      <c r="FA107" s="9"/>
      <c r="FD107" s="9"/>
      <c r="FG107" s="9"/>
      <c r="FJ107" s="9"/>
      <c r="FK107" s="8"/>
      <c r="FM107" s="9"/>
      <c r="FP107" s="9"/>
      <c r="FS107" s="9"/>
      <c r="FY107" s="9"/>
      <c r="GC107" s="8"/>
      <c r="GD107" s="8"/>
      <c r="GE107" s="9"/>
      <c r="GF107" s="8"/>
      <c r="GG107" s="8"/>
      <c r="GH107" s="9"/>
      <c r="GK107" s="9"/>
      <c r="GS107" s="8"/>
      <c r="GT107" s="8"/>
      <c r="HC107" s="9"/>
    </row>
    <row r="108" ht="15.75" customHeight="1">
      <c r="A108" s="1"/>
      <c r="D108" s="9"/>
      <c r="G108" s="9"/>
      <c r="J108" s="9"/>
      <c r="M108" s="9"/>
      <c r="P108" s="9"/>
      <c r="V108" s="9"/>
      <c r="Y108" s="9"/>
      <c r="AB108" s="9"/>
      <c r="AE108" s="9"/>
      <c r="AH108" s="9"/>
      <c r="AI108" s="10"/>
      <c r="AK108" s="9"/>
      <c r="AO108" s="23"/>
      <c r="AP108" s="23"/>
      <c r="AX108" s="24"/>
      <c r="AY108" s="24"/>
      <c r="BA108" s="8"/>
      <c r="BB108" s="8"/>
      <c r="BH108" s="23"/>
      <c r="BJ108" s="23"/>
      <c r="BK108" s="23"/>
      <c r="BM108" s="10"/>
      <c r="BN108" s="10"/>
      <c r="BP108" s="8"/>
      <c r="BQ108" s="8"/>
      <c r="BV108" s="23"/>
      <c r="BW108" s="23"/>
      <c r="BY108" s="8"/>
      <c r="BZ108" s="8"/>
      <c r="CA108" s="9"/>
      <c r="CB108" s="23"/>
      <c r="CC108" s="23"/>
      <c r="CD108" s="9"/>
      <c r="CG108" s="9"/>
      <c r="CJ108" s="9"/>
      <c r="CM108" s="9"/>
      <c r="CP108" s="9"/>
      <c r="CS108" s="9"/>
      <c r="CV108" s="9"/>
      <c r="CY108" s="9"/>
      <c r="DB108" s="9"/>
      <c r="DE108" s="9"/>
      <c r="DH108" s="9"/>
      <c r="DK108" s="9"/>
      <c r="DN108" s="9"/>
      <c r="DQ108" s="9"/>
      <c r="DT108" s="9"/>
      <c r="DW108" s="9"/>
      <c r="DX108" s="8"/>
      <c r="DY108" s="8"/>
      <c r="DZ108" s="9"/>
      <c r="EA108" s="8"/>
      <c r="EC108" s="9"/>
      <c r="EF108" s="9"/>
      <c r="EI108" s="9"/>
      <c r="EL108" s="9"/>
      <c r="EO108" s="9"/>
      <c r="ER108" s="9"/>
      <c r="EU108" s="9"/>
      <c r="EX108" s="9"/>
      <c r="FA108" s="9"/>
      <c r="FD108" s="9"/>
      <c r="FG108" s="9"/>
      <c r="FJ108" s="9"/>
      <c r="FK108" s="8"/>
      <c r="FM108" s="9"/>
      <c r="FP108" s="9"/>
      <c r="FS108" s="9"/>
      <c r="FY108" s="9"/>
      <c r="GC108" s="8"/>
      <c r="GD108" s="8"/>
      <c r="GE108" s="9"/>
      <c r="GF108" s="8"/>
      <c r="GG108" s="8"/>
      <c r="GH108" s="9"/>
      <c r="GK108" s="9"/>
      <c r="GS108" s="8"/>
      <c r="GT108" s="8"/>
      <c r="HC108" s="9"/>
    </row>
    <row r="109" ht="15.75" customHeight="1">
      <c r="A109" s="1"/>
      <c r="D109" s="9"/>
      <c r="G109" s="9"/>
      <c r="J109" s="9"/>
      <c r="M109" s="9"/>
      <c r="P109" s="9"/>
      <c r="V109" s="9"/>
      <c r="Y109" s="9"/>
      <c r="AB109" s="9"/>
      <c r="AE109" s="9"/>
      <c r="AH109" s="9"/>
      <c r="AI109" s="10"/>
      <c r="AK109" s="9"/>
      <c r="AO109" s="23"/>
      <c r="AP109" s="23"/>
      <c r="AX109" s="24"/>
      <c r="AY109" s="24"/>
      <c r="BA109" s="8"/>
      <c r="BB109" s="8"/>
      <c r="BH109" s="23"/>
      <c r="BJ109" s="23"/>
      <c r="BK109" s="23"/>
      <c r="BM109" s="10"/>
      <c r="BN109" s="10"/>
      <c r="BP109" s="8"/>
      <c r="BQ109" s="8"/>
      <c r="BV109" s="23"/>
      <c r="BW109" s="23"/>
      <c r="BY109" s="8"/>
      <c r="BZ109" s="8"/>
      <c r="CA109" s="9"/>
      <c r="CB109" s="23"/>
      <c r="CC109" s="23"/>
      <c r="CD109" s="9"/>
      <c r="CG109" s="9"/>
      <c r="CJ109" s="9"/>
      <c r="CM109" s="9"/>
      <c r="CP109" s="9"/>
      <c r="CS109" s="9"/>
      <c r="CV109" s="9"/>
      <c r="CY109" s="9"/>
      <c r="DB109" s="9"/>
      <c r="DE109" s="9"/>
      <c r="DH109" s="9"/>
      <c r="DK109" s="9"/>
      <c r="DN109" s="9"/>
      <c r="DQ109" s="9"/>
      <c r="DT109" s="9"/>
      <c r="DW109" s="9"/>
      <c r="DX109" s="8"/>
      <c r="DY109" s="8"/>
      <c r="DZ109" s="9"/>
      <c r="EA109" s="8"/>
      <c r="EC109" s="9"/>
      <c r="EF109" s="9"/>
      <c r="EI109" s="9"/>
      <c r="EL109" s="9"/>
      <c r="EO109" s="9"/>
      <c r="ER109" s="9"/>
      <c r="EU109" s="9"/>
      <c r="EX109" s="9"/>
      <c r="FA109" s="9"/>
      <c r="FD109" s="9"/>
      <c r="FG109" s="9"/>
      <c r="FJ109" s="9"/>
      <c r="FK109" s="8"/>
      <c r="FM109" s="9"/>
      <c r="FP109" s="9"/>
      <c r="FS109" s="9"/>
      <c r="FY109" s="9"/>
      <c r="GC109" s="8"/>
      <c r="GD109" s="8"/>
      <c r="GE109" s="9"/>
      <c r="GF109" s="8"/>
      <c r="GG109" s="8"/>
      <c r="GH109" s="9"/>
      <c r="GK109" s="9"/>
      <c r="GS109" s="8"/>
      <c r="GT109" s="8"/>
      <c r="HC109" s="9"/>
    </row>
    <row r="110" ht="15.75" customHeight="1">
      <c r="A110" s="1"/>
      <c r="D110" s="9"/>
      <c r="G110" s="9"/>
      <c r="J110" s="9"/>
      <c r="M110" s="9"/>
      <c r="P110" s="9"/>
      <c r="V110" s="9"/>
      <c r="Y110" s="9"/>
      <c r="AB110" s="9"/>
      <c r="AE110" s="9"/>
      <c r="AH110" s="9"/>
      <c r="AI110" s="10"/>
      <c r="AK110" s="9"/>
      <c r="AO110" s="23"/>
      <c r="AP110" s="23"/>
      <c r="AX110" s="24"/>
      <c r="AY110" s="24"/>
      <c r="BA110" s="8"/>
      <c r="BB110" s="8"/>
      <c r="BH110" s="23"/>
      <c r="BJ110" s="23"/>
      <c r="BK110" s="23"/>
      <c r="BM110" s="10"/>
      <c r="BN110" s="10"/>
      <c r="BP110" s="8"/>
      <c r="BQ110" s="8"/>
      <c r="BV110" s="23"/>
      <c r="BW110" s="23"/>
      <c r="BY110" s="8"/>
      <c r="BZ110" s="8"/>
      <c r="CA110" s="9"/>
      <c r="CB110" s="23"/>
      <c r="CC110" s="23"/>
      <c r="CD110" s="9"/>
      <c r="CG110" s="9"/>
      <c r="CJ110" s="9"/>
      <c r="CM110" s="9"/>
      <c r="CP110" s="9"/>
      <c r="CS110" s="9"/>
      <c r="CV110" s="9"/>
      <c r="CY110" s="9"/>
      <c r="DB110" s="9"/>
      <c r="DE110" s="9"/>
      <c r="DH110" s="9"/>
      <c r="DK110" s="9"/>
      <c r="DN110" s="9"/>
      <c r="DQ110" s="9"/>
      <c r="DT110" s="9"/>
      <c r="DW110" s="9"/>
      <c r="DX110" s="8"/>
      <c r="DY110" s="8"/>
      <c r="DZ110" s="9"/>
      <c r="EA110" s="8"/>
      <c r="EC110" s="9"/>
      <c r="EF110" s="9"/>
      <c r="EI110" s="9"/>
      <c r="EL110" s="9"/>
      <c r="EO110" s="9"/>
      <c r="ER110" s="9"/>
      <c r="EU110" s="9"/>
      <c r="EX110" s="9"/>
      <c r="FA110" s="9"/>
      <c r="FD110" s="9"/>
      <c r="FG110" s="9"/>
      <c r="FJ110" s="9"/>
      <c r="FK110" s="8"/>
      <c r="FM110" s="9"/>
      <c r="FP110" s="9"/>
      <c r="FS110" s="9"/>
      <c r="FY110" s="9"/>
      <c r="GC110" s="8"/>
      <c r="GD110" s="8"/>
      <c r="GE110" s="9"/>
      <c r="GF110" s="8"/>
      <c r="GG110" s="8"/>
      <c r="GH110" s="9"/>
      <c r="GK110" s="9"/>
      <c r="GS110" s="8"/>
      <c r="GT110" s="8"/>
      <c r="HC110" s="9"/>
    </row>
    <row r="111" ht="15.75" customHeight="1">
      <c r="A111" s="1"/>
      <c r="D111" s="9"/>
      <c r="G111" s="9"/>
      <c r="J111" s="9"/>
      <c r="M111" s="9"/>
      <c r="P111" s="9"/>
      <c r="V111" s="9"/>
      <c r="Y111" s="9"/>
      <c r="AB111" s="9"/>
      <c r="AE111" s="9"/>
      <c r="AH111" s="9"/>
      <c r="AI111" s="10"/>
      <c r="AK111" s="9"/>
      <c r="AO111" s="23"/>
      <c r="AP111" s="23"/>
      <c r="AX111" s="24"/>
      <c r="AY111" s="24"/>
      <c r="BA111" s="8"/>
      <c r="BB111" s="8"/>
      <c r="BH111" s="23"/>
      <c r="BJ111" s="23"/>
      <c r="BK111" s="23"/>
      <c r="BM111" s="10"/>
      <c r="BN111" s="10"/>
      <c r="BP111" s="8"/>
      <c r="BQ111" s="8"/>
      <c r="BV111" s="23"/>
      <c r="BW111" s="23"/>
      <c r="BY111" s="8"/>
      <c r="BZ111" s="8"/>
      <c r="CA111" s="9"/>
      <c r="CB111" s="23"/>
      <c r="CC111" s="23"/>
      <c r="CD111" s="9"/>
      <c r="CG111" s="9"/>
      <c r="CJ111" s="9"/>
      <c r="CM111" s="9"/>
      <c r="CP111" s="9"/>
      <c r="CS111" s="9"/>
      <c r="CV111" s="9"/>
      <c r="CY111" s="9"/>
      <c r="DB111" s="9"/>
      <c r="DE111" s="9"/>
      <c r="DH111" s="9"/>
      <c r="DK111" s="9"/>
      <c r="DN111" s="9"/>
      <c r="DQ111" s="9"/>
      <c r="DT111" s="9"/>
      <c r="DW111" s="9"/>
      <c r="DX111" s="8"/>
      <c r="DY111" s="8"/>
      <c r="DZ111" s="9"/>
      <c r="EA111" s="8"/>
      <c r="EC111" s="9"/>
      <c r="EF111" s="9"/>
      <c r="EI111" s="9"/>
      <c r="EL111" s="9"/>
      <c r="EO111" s="9"/>
      <c r="ER111" s="9"/>
      <c r="EU111" s="9"/>
      <c r="EX111" s="9"/>
      <c r="FA111" s="9"/>
      <c r="FD111" s="9"/>
      <c r="FG111" s="9"/>
      <c r="FJ111" s="9"/>
      <c r="FK111" s="8"/>
      <c r="FM111" s="9"/>
      <c r="FP111" s="9"/>
      <c r="FS111" s="9"/>
      <c r="FY111" s="9"/>
      <c r="GC111" s="8"/>
      <c r="GD111" s="8"/>
      <c r="GE111" s="9"/>
      <c r="GF111" s="8"/>
      <c r="GG111" s="8"/>
      <c r="GH111" s="9"/>
      <c r="GK111" s="9"/>
      <c r="GS111" s="8"/>
      <c r="GT111" s="8"/>
      <c r="HC111" s="9"/>
    </row>
    <row r="112" ht="15.75" customHeight="1">
      <c r="A112" s="1"/>
      <c r="D112" s="9"/>
      <c r="G112" s="9"/>
      <c r="J112" s="9"/>
      <c r="M112" s="9"/>
      <c r="P112" s="9"/>
      <c r="V112" s="9"/>
      <c r="Y112" s="9"/>
      <c r="AB112" s="9"/>
      <c r="AE112" s="9"/>
      <c r="AH112" s="9"/>
      <c r="AI112" s="10"/>
      <c r="AK112" s="9"/>
      <c r="AO112" s="23"/>
      <c r="AP112" s="23"/>
      <c r="AX112" s="24"/>
      <c r="AY112" s="24"/>
      <c r="BA112" s="8"/>
      <c r="BB112" s="8"/>
      <c r="BH112" s="23"/>
      <c r="BJ112" s="23"/>
      <c r="BK112" s="23"/>
      <c r="BM112" s="10"/>
      <c r="BN112" s="10"/>
      <c r="BP112" s="8"/>
      <c r="BQ112" s="8"/>
      <c r="BV112" s="23"/>
      <c r="BW112" s="23"/>
      <c r="BY112" s="8"/>
      <c r="BZ112" s="8"/>
      <c r="CA112" s="9"/>
      <c r="CB112" s="23"/>
      <c r="CC112" s="23"/>
      <c r="CD112" s="9"/>
      <c r="CG112" s="9"/>
      <c r="CJ112" s="9"/>
      <c r="CM112" s="9"/>
      <c r="CP112" s="9"/>
      <c r="CS112" s="9"/>
      <c r="CV112" s="9"/>
      <c r="CY112" s="9"/>
      <c r="DB112" s="9"/>
      <c r="DE112" s="9"/>
      <c r="DH112" s="9"/>
      <c r="DK112" s="9"/>
      <c r="DN112" s="9"/>
      <c r="DQ112" s="9"/>
      <c r="DT112" s="9"/>
      <c r="DW112" s="9"/>
      <c r="DX112" s="8"/>
      <c r="DY112" s="8"/>
      <c r="DZ112" s="9"/>
      <c r="EA112" s="8"/>
      <c r="EC112" s="9"/>
      <c r="EF112" s="9"/>
      <c r="EI112" s="9"/>
      <c r="EL112" s="9"/>
      <c r="EO112" s="9"/>
      <c r="ER112" s="9"/>
      <c r="EU112" s="9"/>
      <c r="EX112" s="9"/>
      <c r="FA112" s="9"/>
      <c r="FD112" s="9"/>
      <c r="FG112" s="9"/>
      <c r="FJ112" s="9"/>
      <c r="FK112" s="8"/>
      <c r="FM112" s="9"/>
      <c r="FP112" s="9"/>
      <c r="FS112" s="9"/>
      <c r="FY112" s="9"/>
      <c r="GC112" s="8"/>
      <c r="GD112" s="8"/>
      <c r="GE112" s="9"/>
      <c r="GF112" s="8"/>
      <c r="GG112" s="8"/>
      <c r="GH112" s="9"/>
      <c r="GK112" s="9"/>
      <c r="GS112" s="8"/>
      <c r="GT112" s="8"/>
      <c r="HC112" s="9"/>
    </row>
    <row r="113" ht="15.75" customHeight="1">
      <c r="A113" s="1"/>
      <c r="D113" s="9"/>
      <c r="G113" s="9"/>
      <c r="J113" s="9"/>
      <c r="M113" s="9"/>
      <c r="P113" s="9"/>
      <c r="V113" s="9"/>
      <c r="Y113" s="9"/>
      <c r="AB113" s="9"/>
      <c r="AE113" s="9"/>
      <c r="AH113" s="9"/>
      <c r="AI113" s="10"/>
      <c r="AK113" s="9"/>
      <c r="AO113" s="23"/>
      <c r="AP113" s="23"/>
      <c r="AX113" s="24"/>
      <c r="AY113" s="24"/>
      <c r="BA113" s="8"/>
      <c r="BB113" s="8"/>
      <c r="BH113" s="23"/>
      <c r="BJ113" s="23"/>
      <c r="BK113" s="23"/>
      <c r="BM113" s="10"/>
      <c r="BN113" s="10"/>
      <c r="BP113" s="8"/>
      <c r="BQ113" s="8"/>
      <c r="BV113" s="23"/>
      <c r="BW113" s="23"/>
      <c r="BY113" s="8"/>
      <c r="BZ113" s="8"/>
      <c r="CA113" s="9"/>
      <c r="CB113" s="23"/>
      <c r="CC113" s="23"/>
      <c r="CD113" s="9"/>
      <c r="CG113" s="9"/>
      <c r="CJ113" s="9"/>
      <c r="CM113" s="9"/>
      <c r="CP113" s="9"/>
      <c r="CS113" s="9"/>
      <c r="CV113" s="9"/>
      <c r="CY113" s="9"/>
      <c r="DB113" s="9"/>
      <c r="DE113" s="9"/>
      <c r="DH113" s="9"/>
      <c r="DK113" s="9"/>
      <c r="DN113" s="9"/>
      <c r="DQ113" s="9"/>
      <c r="DT113" s="9"/>
      <c r="DW113" s="9"/>
      <c r="DX113" s="8"/>
      <c r="DY113" s="8"/>
      <c r="DZ113" s="9"/>
      <c r="EA113" s="8"/>
      <c r="EC113" s="9"/>
      <c r="EF113" s="9"/>
      <c r="EI113" s="9"/>
      <c r="EL113" s="9"/>
      <c r="EO113" s="9"/>
      <c r="ER113" s="9"/>
      <c r="EU113" s="9"/>
      <c r="EX113" s="9"/>
      <c r="FA113" s="9"/>
      <c r="FD113" s="9"/>
      <c r="FG113" s="9"/>
      <c r="FJ113" s="9"/>
      <c r="FK113" s="8"/>
      <c r="FM113" s="9"/>
      <c r="FP113" s="9"/>
      <c r="FS113" s="9"/>
      <c r="FY113" s="9"/>
      <c r="GC113" s="8"/>
      <c r="GD113" s="8"/>
      <c r="GE113" s="9"/>
      <c r="GF113" s="8"/>
      <c r="GG113" s="8"/>
      <c r="GH113" s="9"/>
      <c r="GK113" s="9"/>
      <c r="GS113" s="8"/>
      <c r="GT113" s="8"/>
      <c r="HC113" s="9"/>
    </row>
    <row r="114" ht="15.75" customHeight="1">
      <c r="A114" s="1"/>
      <c r="D114" s="9"/>
      <c r="G114" s="9"/>
      <c r="J114" s="9"/>
      <c r="M114" s="9"/>
      <c r="P114" s="9"/>
      <c r="V114" s="9"/>
      <c r="Y114" s="9"/>
      <c r="AB114" s="9"/>
      <c r="AE114" s="9"/>
      <c r="AH114" s="9"/>
      <c r="AI114" s="10"/>
      <c r="AK114" s="9"/>
      <c r="AO114" s="23"/>
      <c r="AP114" s="23"/>
      <c r="AX114" s="24"/>
      <c r="AY114" s="24"/>
      <c r="BA114" s="8"/>
      <c r="BB114" s="8"/>
      <c r="BH114" s="23"/>
      <c r="BJ114" s="23"/>
      <c r="BK114" s="23"/>
      <c r="BM114" s="10"/>
      <c r="BN114" s="10"/>
      <c r="BP114" s="8"/>
      <c r="BQ114" s="8"/>
      <c r="BV114" s="23"/>
      <c r="BW114" s="23"/>
      <c r="BY114" s="8"/>
      <c r="BZ114" s="8"/>
      <c r="CA114" s="9"/>
      <c r="CB114" s="23"/>
      <c r="CC114" s="23"/>
      <c r="CD114" s="9"/>
      <c r="CG114" s="9"/>
      <c r="CJ114" s="9"/>
      <c r="CM114" s="9"/>
      <c r="CP114" s="9"/>
      <c r="CS114" s="9"/>
      <c r="CV114" s="9"/>
      <c r="CY114" s="9"/>
      <c r="DB114" s="9"/>
      <c r="DE114" s="9"/>
      <c r="DH114" s="9"/>
      <c r="DK114" s="9"/>
      <c r="DN114" s="9"/>
      <c r="DQ114" s="9"/>
      <c r="DT114" s="9"/>
      <c r="DW114" s="9"/>
      <c r="DX114" s="8"/>
      <c r="DY114" s="8"/>
      <c r="DZ114" s="9"/>
      <c r="EA114" s="8"/>
      <c r="EC114" s="9"/>
      <c r="EF114" s="9"/>
      <c r="EI114" s="9"/>
      <c r="EL114" s="9"/>
      <c r="EO114" s="9"/>
      <c r="ER114" s="9"/>
      <c r="EU114" s="9"/>
      <c r="EX114" s="9"/>
      <c r="FA114" s="9"/>
      <c r="FD114" s="9"/>
      <c r="FG114" s="9"/>
      <c r="FJ114" s="9"/>
      <c r="FK114" s="8"/>
      <c r="FM114" s="9"/>
      <c r="FP114" s="9"/>
      <c r="FS114" s="9"/>
      <c r="FY114" s="9"/>
      <c r="GC114" s="8"/>
      <c r="GD114" s="8"/>
      <c r="GE114" s="9"/>
      <c r="GF114" s="8"/>
      <c r="GG114" s="8"/>
      <c r="GH114" s="9"/>
      <c r="GK114" s="9"/>
      <c r="GS114" s="8"/>
      <c r="GT114" s="8"/>
      <c r="HC114" s="9"/>
    </row>
    <row r="115" ht="15.75" customHeight="1">
      <c r="A115" s="1"/>
      <c r="D115" s="9"/>
      <c r="G115" s="9"/>
      <c r="J115" s="9"/>
      <c r="M115" s="9"/>
      <c r="P115" s="9"/>
      <c r="V115" s="9"/>
      <c r="Y115" s="9"/>
      <c r="AB115" s="9"/>
      <c r="AE115" s="9"/>
      <c r="AH115" s="9"/>
      <c r="AI115" s="10"/>
      <c r="AK115" s="9"/>
      <c r="AO115" s="23"/>
      <c r="AP115" s="23"/>
      <c r="AX115" s="24"/>
      <c r="AY115" s="24"/>
      <c r="BA115" s="8"/>
      <c r="BB115" s="8"/>
      <c r="BH115" s="23"/>
      <c r="BJ115" s="23"/>
      <c r="BK115" s="23"/>
      <c r="BM115" s="10"/>
      <c r="BN115" s="10"/>
      <c r="BP115" s="8"/>
      <c r="BQ115" s="8"/>
      <c r="BV115" s="23"/>
      <c r="BW115" s="23"/>
      <c r="BY115" s="8"/>
      <c r="BZ115" s="8"/>
      <c r="CA115" s="9"/>
      <c r="CB115" s="23"/>
      <c r="CC115" s="23"/>
      <c r="CD115" s="9"/>
      <c r="CG115" s="9"/>
      <c r="CJ115" s="9"/>
      <c r="CM115" s="9"/>
      <c r="CP115" s="9"/>
      <c r="CS115" s="9"/>
      <c r="CV115" s="9"/>
      <c r="CY115" s="9"/>
      <c r="DB115" s="9"/>
      <c r="DE115" s="9"/>
      <c r="DH115" s="9"/>
      <c r="DK115" s="9"/>
      <c r="DN115" s="9"/>
      <c r="DQ115" s="9"/>
      <c r="DT115" s="9"/>
      <c r="DW115" s="9"/>
      <c r="DX115" s="8"/>
      <c r="DY115" s="8"/>
      <c r="DZ115" s="9"/>
      <c r="EA115" s="8"/>
      <c r="EC115" s="9"/>
      <c r="EF115" s="9"/>
      <c r="EI115" s="9"/>
      <c r="EL115" s="9"/>
      <c r="EO115" s="9"/>
      <c r="ER115" s="9"/>
      <c r="EU115" s="9"/>
      <c r="EX115" s="9"/>
      <c r="FA115" s="9"/>
      <c r="FD115" s="9"/>
      <c r="FG115" s="9"/>
      <c r="FJ115" s="9"/>
      <c r="FK115" s="8"/>
      <c r="FM115" s="9"/>
      <c r="FP115" s="9"/>
      <c r="FS115" s="9"/>
      <c r="FY115" s="9"/>
      <c r="GC115" s="8"/>
      <c r="GD115" s="8"/>
      <c r="GE115" s="9"/>
      <c r="GF115" s="8"/>
      <c r="GG115" s="8"/>
      <c r="GH115" s="9"/>
      <c r="GK115" s="9"/>
      <c r="GS115" s="8"/>
      <c r="GT115" s="8"/>
      <c r="HC115" s="9"/>
    </row>
    <row r="116" ht="15.75" customHeight="1">
      <c r="A116" s="1"/>
      <c r="D116" s="9"/>
      <c r="G116" s="9"/>
      <c r="J116" s="9"/>
      <c r="M116" s="9"/>
      <c r="P116" s="9"/>
      <c r="V116" s="9"/>
      <c r="Y116" s="9"/>
      <c r="AB116" s="9"/>
      <c r="AE116" s="9"/>
      <c r="AH116" s="9"/>
      <c r="AI116" s="10"/>
      <c r="AK116" s="9"/>
      <c r="AO116" s="23"/>
      <c r="AP116" s="23"/>
      <c r="AX116" s="24"/>
      <c r="AY116" s="24"/>
      <c r="BA116" s="8"/>
      <c r="BB116" s="8"/>
      <c r="BH116" s="23"/>
      <c r="BJ116" s="23"/>
      <c r="BK116" s="23"/>
      <c r="BM116" s="10"/>
      <c r="BN116" s="10"/>
      <c r="BP116" s="8"/>
      <c r="BQ116" s="8"/>
      <c r="BV116" s="23"/>
      <c r="BW116" s="23"/>
      <c r="BY116" s="8"/>
      <c r="BZ116" s="8"/>
      <c r="CA116" s="9"/>
      <c r="CB116" s="23"/>
      <c r="CC116" s="23"/>
      <c r="CD116" s="9"/>
      <c r="CG116" s="9"/>
      <c r="CJ116" s="9"/>
      <c r="CM116" s="9"/>
      <c r="CP116" s="9"/>
      <c r="CS116" s="9"/>
      <c r="CV116" s="9"/>
      <c r="CY116" s="9"/>
      <c r="DB116" s="9"/>
      <c r="DE116" s="9"/>
      <c r="DH116" s="9"/>
      <c r="DK116" s="9"/>
      <c r="DN116" s="9"/>
      <c r="DQ116" s="9"/>
      <c r="DT116" s="9"/>
      <c r="DW116" s="9"/>
      <c r="DX116" s="8"/>
      <c r="DY116" s="8"/>
      <c r="DZ116" s="9"/>
      <c r="EA116" s="8"/>
      <c r="EC116" s="9"/>
      <c r="EF116" s="9"/>
      <c r="EI116" s="9"/>
      <c r="EL116" s="9"/>
      <c r="EO116" s="9"/>
      <c r="ER116" s="9"/>
      <c r="EU116" s="9"/>
      <c r="EX116" s="9"/>
      <c r="FA116" s="9"/>
      <c r="FD116" s="9"/>
      <c r="FG116" s="9"/>
      <c r="FJ116" s="9"/>
      <c r="FK116" s="8"/>
      <c r="FM116" s="9"/>
      <c r="FP116" s="9"/>
      <c r="FS116" s="9"/>
      <c r="FY116" s="9"/>
      <c r="GC116" s="8"/>
      <c r="GD116" s="8"/>
      <c r="GE116" s="9"/>
      <c r="GF116" s="8"/>
      <c r="GG116" s="8"/>
      <c r="GH116" s="9"/>
      <c r="GK116" s="9"/>
      <c r="GS116" s="8"/>
      <c r="GT116" s="8"/>
      <c r="HC116" s="9"/>
    </row>
    <row r="117" ht="15.75" customHeight="1">
      <c r="A117" s="1"/>
      <c r="D117" s="9"/>
      <c r="G117" s="9"/>
      <c r="J117" s="9"/>
      <c r="M117" s="9"/>
      <c r="P117" s="9"/>
      <c r="V117" s="9"/>
      <c r="Y117" s="9"/>
      <c r="AB117" s="9"/>
      <c r="AE117" s="9"/>
      <c r="AH117" s="9"/>
      <c r="AI117" s="10"/>
      <c r="AK117" s="9"/>
      <c r="AO117" s="23"/>
      <c r="AP117" s="23"/>
      <c r="AX117" s="24"/>
      <c r="AY117" s="24"/>
      <c r="BA117" s="8"/>
      <c r="BB117" s="8"/>
      <c r="BH117" s="23"/>
      <c r="BJ117" s="23"/>
      <c r="BK117" s="23"/>
      <c r="BM117" s="10"/>
      <c r="BN117" s="10"/>
      <c r="BP117" s="8"/>
      <c r="BQ117" s="8"/>
      <c r="BV117" s="23"/>
      <c r="BW117" s="23"/>
      <c r="BY117" s="8"/>
      <c r="BZ117" s="8"/>
      <c r="CA117" s="9"/>
      <c r="CB117" s="23"/>
      <c r="CC117" s="23"/>
      <c r="CD117" s="9"/>
      <c r="CG117" s="9"/>
      <c r="CJ117" s="9"/>
      <c r="CM117" s="9"/>
      <c r="CP117" s="9"/>
      <c r="CS117" s="9"/>
      <c r="CV117" s="9"/>
      <c r="CY117" s="9"/>
      <c r="DB117" s="9"/>
      <c r="DE117" s="9"/>
      <c r="DH117" s="9"/>
      <c r="DK117" s="9"/>
      <c r="DN117" s="9"/>
      <c r="DQ117" s="9"/>
      <c r="DT117" s="9"/>
      <c r="DW117" s="9"/>
      <c r="DX117" s="8"/>
      <c r="DY117" s="8"/>
      <c r="DZ117" s="9"/>
      <c r="EA117" s="8"/>
      <c r="EC117" s="9"/>
      <c r="EF117" s="9"/>
      <c r="EI117" s="9"/>
      <c r="EL117" s="9"/>
      <c r="EO117" s="9"/>
      <c r="ER117" s="9"/>
      <c r="EU117" s="9"/>
      <c r="EX117" s="9"/>
      <c r="FA117" s="9"/>
      <c r="FD117" s="9"/>
      <c r="FG117" s="9"/>
      <c r="FJ117" s="9"/>
      <c r="FK117" s="8"/>
      <c r="FM117" s="9"/>
      <c r="FP117" s="9"/>
      <c r="FS117" s="9"/>
      <c r="FY117" s="9"/>
      <c r="GC117" s="8"/>
      <c r="GD117" s="8"/>
      <c r="GE117" s="9"/>
      <c r="GF117" s="8"/>
      <c r="GG117" s="8"/>
      <c r="GH117" s="9"/>
      <c r="GK117" s="9"/>
      <c r="GS117" s="8"/>
      <c r="GT117" s="8"/>
      <c r="HC117" s="9"/>
    </row>
    <row r="118" ht="15.75" customHeight="1">
      <c r="A118" s="1"/>
      <c r="D118" s="9"/>
      <c r="G118" s="9"/>
      <c r="J118" s="9"/>
      <c r="M118" s="9"/>
      <c r="P118" s="9"/>
      <c r="V118" s="9"/>
      <c r="Y118" s="9"/>
      <c r="AB118" s="9"/>
      <c r="AE118" s="9"/>
      <c r="AH118" s="9"/>
      <c r="AI118" s="10"/>
      <c r="AK118" s="9"/>
      <c r="AO118" s="23"/>
      <c r="AP118" s="23"/>
      <c r="AX118" s="24"/>
      <c r="AY118" s="24"/>
      <c r="BA118" s="8"/>
      <c r="BB118" s="8"/>
      <c r="BH118" s="23"/>
      <c r="BJ118" s="23"/>
      <c r="BK118" s="23"/>
      <c r="BM118" s="10"/>
      <c r="BN118" s="10"/>
      <c r="BP118" s="8"/>
      <c r="BQ118" s="8"/>
      <c r="BV118" s="23"/>
      <c r="BW118" s="23"/>
      <c r="BY118" s="8"/>
      <c r="BZ118" s="8"/>
      <c r="CA118" s="9"/>
      <c r="CB118" s="23"/>
      <c r="CC118" s="23"/>
      <c r="CD118" s="9"/>
      <c r="CG118" s="9"/>
      <c r="CJ118" s="9"/>
      <c r="CM118" s="9"/>
      <c r="CP118" s="9"/>
      <c r="CS118" s="9"/>
      <c r="CV118" s="9"/>
      <c r="CY118" s="9"/>
      <c r="DB118" s="9"/>
      <c r="DE118" s="9"/>
      <c r="DH118" s="9"/>
      <c r="DK118" s="9"/>
      <c r="DN118" s="9"/>
      <c r="DQ118" s="9"/>
      <c r="DT118" s="9"/>
      <c r="DW118" s="9"/>
      <c r="DX118" s="8"/>
      <c r="DY118" s="8"/>
      <c r="DZ118" s="9"/>
      <c r="EA118" s="8"/>
      <c r="EC118" s="9"/>
      <c r="EF118" s="9"/>
      <c r="EI118" s="9"/>
      <c r="EL118" s="9"/>
      <c r="EO118" s="9"/>
      <c r="ER118" s="9"/>
      <c r="EU118" s="9"/>
      <c r="EX118" s="9"/>
      <c r="FA118" s="9"/>
      <c r="FD118" s="9"/>
      <c r="FG118" s="9"/>
      <c r="FJ118" s="9"/>
      <c r="FK118" s="8"/>
      <c r="FM118" s="9"/>
      <c r="FP118" s="9"/>
      <c r="FS118" s="9"/>
      <c r="FY118" s="9"/>
      <c r="GC118" s="8"/>
      <c r="GD118" s="8"/>
      <c r="GE118" s="9"/>
      <c r="GF118" s="8"/>
      <c r="GG118" s="8"/>
      <c r="GH118" s="9"/>
      <c r="GK118" s="9"/>
      <c r="GS118" s="8"/>
      <c r="GT118" s="8"/>
      <c r="HC118" s="9"/>
    </row>
    <row r="119" ht="15.75" customHeight="1">
      <c r="A119" s="1"/>
      <c r="D119" s="9"/>
      <c r="G119" s="9"/>
      <c r="J119" s="9"/>
      <c r="M119" s="9"/>
      <c r="P119" s="9"/>
      <c r="V119" s="9"/>
      <c r="Y119" s="9"/>
      <c r="AB119" s="9"/>
      <c r="AE119" s="9"/>
      <c r="AH119" s="9"/>
      <c r="AI119" s="10"/>
      <c r="AK119" s="9"/>
      <c r="AO119" s="23"/>
      <c r="AP119" s="23"/>
      <c r="AX119" s="24"/>
      <c r="AY119" s="24"/>
      <c r="BA119" s="8"/>
      <c r="BB119" s="8"/>
      <c r="BH119" s="23"/>
      <c r="BJ119" s="23"/>
      <c r="BK119" s="23"/>
      <c r="BM119" s="10"/>
      <c r="BN119" s="10"/>
      <c r="BP119" s="8"/>
      <c r="BQ119" s="8"/>
      <c r="BV119" s="23"/>
      <c r="BW119" s="23"/>
      <c r="BY119" s="8"/>
      <c r="BZ119" s="8"/>
      <c r="CA119" s="9"/>
      <c r="CB119" s="23"/>
      <c r="CC119" s="23"/>
      <c r="CD119" s="9"/>
      <c r="CG119" s="9"/>
      <c r="CJ119" s="9"/>
      <c r="CM119" s="9"/>
      <c r="CP119" s="9"/>
      <c r="CS119" s="9"/>
      <c r="CV119" s="9"/>
      <c r="CY119" s="9"/>
      <c r="DB119" s="9"/>
      <c r="DE119" s="9"/>
      <c r="DH119" s="9"/>
      <c r="DK119" s="9"/>
      <c r="DN119" s="9"/>
      <c r="DQ119" s="9"/>
      <c r="DT119" s="9"/>
      <c r="DW119" s="9"/>
      <c r="DX119" s="8"/>
      <c r="DY119" s="8"/>
      <c r="DZ119" s="9"/>
      <c r="EA119" s="8"/>
      <c r="EC119" s="9"/>
      <c r="EF119" s="9"/>
      <c r="EI119" s="9"/>
      <c r="EL119" s="9"/>
      <c r="EO119" s="9"/>
      <c r="ER119" s="9"/>
      <c r="EU119" s="9"/>
      <c r="EX119" s="9"/>
      <c r="FA119" s="9"/>
      <c r="FD119" s="9"/>
      <c r="FG119" s="9"/>
      <c r="FJ119" s="9"/>
      <c r="FK119" s="8"/>
      <c r="FM119" s="9"/>
      <c r="FP119" s="9"/>
      <c r="FS119" s="9"/>
      <c r="FY119" s="9"/>
      <c r="GC119" s="8"/>
      <c r="GD119" s="8"/>
      <c r="GE119" s="9"/>
      <c r="GF119" s="8"/>
      <c r="GG119" s="8"/>
      <c r="GH119" s="9"/>
      <c r="GK119" s="9"/>
      <c r="GS119" s="8"/>
      <c r="GT119" s="8"/>
      <c r="HC119" s="9"/>
    </row>
    <row r="120" ht="15.75" customHeight="1">
      <c r="A120" s="1"/>
      <c r="D120" s="9"/>
      <c r="G120" s="9"/>
      <c r="J120" s="9"/>
      <c r="M120" s="9"/>
      <c r="P120" s="9"/>
      <c r="V120" s="9"/>
      <c r="Y120" s="9"/>
      <c r="AB120" s="9"/>
      <c r="AE120" s="9"/>
      <c r="AH120" s="9"/>
      <c r="AI120" s="10"/>
      <c r="AK120" s="9"/>
      <c r="AO120" s="23"/>
      <c r="AP120" s="23"/>
      <c r="AX120" s="24"/>
      <c r="AY120" s="24"/>
      <c r="BA120" s="8"/>
      <c r="BB120" s="8"/>
      <c r="BH120" s="23"/>
      <c r="BJ120" s="23"/>
      <c r="BK120" s="23"/>
      <c r="BM120" s="10"/>
      <c r="BN120" s="10"/>
      <c r="BP120" s="8"/>
      <c r="BQ120" s="8"/>
      <c r="BV120" s="23"/>
      <c r="BW120" s="23"/>
      <c r="BY120" s="8"/>
      <c r="BZ120" s="8"/>
      <c r="CA120" s="9"/>
      <c r="CB120" s="23"/>
      <c r="CC120" s="23"/>
      <c r="CD120" s="9"/>
      <c r="CG120" s="9"/>
      <c r="CJ120" s="9"/>
      <c r="CM120" s="9"/>
      <c r="CP120" s="9"/>
      <c r="CS120" s="9"/>
      <c r="CV120" s="9"/>
      <c r="CY120" s="9"/>
      <c r="DB120" s="9"/>
      <c r="DE120" s="9"/>
      <c r="DH120" s="9"/>
      <c r="DK120" s="9"/>
      <c r="DN120" s="9"/>
      <c r="DQ120" s="9"/>
      <c r="DT120" s="9"/>
      <c r="DW120" s="9"/>
      <c r="DX120" s="8"/>
      <c r="DY120" s="8"/>
      <c r="DZ120" s="9"/>
      <c r="EA120" s="8"/>
      <c r="EC120" s="9"/>
      <c r="EF120" s="9"/>
      <c r="EI120" s="9"/>
      <c r="EL120" s="9"/>
      <c r="EO120" s="9"/>
      <c r="ER120" s="9"/>
      <c r="EU120" s="9"/>
      <c r="EX120" s="9"/>
      <c r="FA120" s="9"/>
      <c r="FD120" s="9"/>
      <c r="FG120" s="9"/>
      <c r="FJ120" s="9"/>
      <c r="FK120" s="8"/>
      <c r="FM120" s="9"/>
      <c r="FP120" s="9"/>
      <c r="FS120" s="9"/>
      <c r="FY120" s="9"/>
      <c r="GC120" s="8"/>
      <c r="GD120" s="8"/>
      <c r="GE120" s="9"/>
      <c r="GF120" s="8"/>
      <c r="GG120" s="8"/>
      <c r="GH120" s="9"/>
      <c r="GK120" s="9"/>
      <c r="GS120" s="8"/>
      <c r="GT120" s="8"/>
      <c r="HC120" s="9"/>
    </row>
    <row r="121" ht="15.75" customHeight="1">
      <c r="A121" s="1"/>
      <c r="D121" s="9"/>
      <c r="G121" s="9"/>
      <c r="J121" s="9"/>
      <c r="M121" s="9"/>
      <c r="P121" s="9"/>
      <c r="V121" s="9"/>
      <c r="Y121" s="9"/>
      <c r="AB121" s="9"/>
      <c r="AE121" s="9"/>
      <c r="AH121" s="9"/>
      <c r="AI121" s="10"/>
      <c r="AK121" s="9"/>
      <c r="AO121" s="23"/>
      <c r="AP121" s="23"/>
      <c r="AX121" s="24"/>
      <c r="AY121" s="24"/>
      <c r="BA121" s="8"/>
      <c r="BB121" s="8"/>
      <c r="BH121" s="23"/>
      <c r="BJ121" s="23"/>
      <c r="BK121" s="23"/>
      <c r="BM121" s="10"/>
      <c r="BN121" s="10"/>
      <c r="BP121" s="8"/>
      <c r="BQ121" s="8"/>
      <c r="BV121" s="23"/>
      <c r="BW121" s="23"/>
      <c r="BY121" s="8"/>
      <c r="BZ121" s="8"/>
      <c r="CA121" s="9"/>
      <c r="CB121" s="23"/>
      <c r="CC121" s="23"/>
      <c r="CD121" s="9"/>
      <c r="CG121" s="9"/>
      <c r="CJ121" s="9"/>
      <c r="CM121" s="9"/>
      <c r="CP121" s="9"/>
      <c r="CS121" s="9"/>
      <c r="CV121" s="9"/>
      <c r="CY121" s="9"/>
      <c r="DB121" s="9"/>
      <c r="DE121" s="9"/>
      <c r="DH121" s="9"/>
      <c r="DK121" s="9"/>
      <c r="DN121" s="9"/>
      <c r="DQ121" s="9"/>
      <c r="DT121" s="9"/>
      <c r="DW121" s="9"/>
      <c r="DX121" s="8"/>
      <c r="DY121" s="8"/>
      <c r="DZ121" s="9"/>
      <c r="EA121" s="8"/>
      <c r="EC121" s="9"/>
      <c r="EF121" s="9"/>
      <c r="EI121" s="9"/>
      <c r="EL121" s="9"/>
      <c r="EO121" s="9"/>
      <c r="ER121" s="9"/>
      <c r="EU121" s="9"/>
      <c r="EX121" s="9"/>
      <c r="FA121" s="9"/>
      <c r="FD121" s="9"/>
      <c r="FG121" s="9"/>
      <c r="FJ121" s="9"/>
      <c r="FK121" s="8"/>
      <c r="FM121" s="9"/>
      <c r="FP121" s="9"/>
      <c r="FS121" s="9"/>
      <c r="FY121" s="9"/>
      <c r="GC121" s="8"/>
      <c r="GD121" s="8"/>
      <c r="GE121" s="9"/>
      <c r="GF121" s="8"/>
      <c r="GG121" s="8"/>
      <c r="GH121" s="9"/>
      <c r="GK121" s="9"/>
      <c r="GS121" s="8"/>
      <c r="GT121" s="8"/>
      <c r="HC121" s="9"/>
    </row>
    <row r="122" ht="15.75" customHeight="1">
      <c r="A122" s="1"/>
      <c r="D122" s="9"/>
      <c r="G122" s="9"/>
      <c r="J122" s="9"/>
      <c r="M122" s="9"/>
      <c r="P122" s="9"/>
      <c r="V122" s="9"/>
      <c r="Y122" s="9"/>
      <c r="AB122" s="9"/>
      <c r="AE122" s="9"/>
      <c r="AH122" s="9"/>
      <c r="AI122" s="10"/>
      <c r="AK122" s="9"/>
      <c r="AO122" s="23"/>
      <c r="AP122" s="23"/>
      <c r="AX122" s="24"/>
      <c r="AY122" s="24"/>
      <c r="BA122" s="8"/>
      <c r="BB122" s="8"/>
      <c r="BH122" s="23"/>
      <c r="BJ122" s="23"/>
      <c r="BK122" s="23"/>
      <c r="BM122" s="10"/>
      <c r="BN122" s="10"/>
      <c r="BP122" s="8"/>
      <c r="BQ122" s="8"/>
      <c r="BV122" s="23"/>
      <c r="BW122" s="23"/>
      <c r="BY122" s="8"/>
      <c r="BZ122" s="8"/>
      <c r="CA122" s="9"/>
      <c r="CB122" s="23"/>
      <c r="CC122" s="23"/>
      <c r="CD122" s="9"/>
      <c r="CG122" s="9"/>
      <c r="CJ122" s="9"/>
      <c r="CM122" s="9"/>
      <c r="CP122" s="9"/>
      <c r="CS122" s="9"/>
      <c r="CV122" s="9"/>
      <c r="CY122" s="9"/>
      <c r="DB122" s="9"/>
      <c r="DE122" s="9"/>
      <c r="DH122" s="9"/>
      <c r="DK122" s="9"/>
      <c r="DN122" s="9"/>
      <c r="DQ122" s="9"/>
      <c r="DT122" s="9"/>
      <c r="DW122" s="9"/>
      <c r="DX122" s="8"/>
      <c r="DY122" s="8"/>
      <c r="DZ122" s="9"/>
      <c r="EA122" s="8"/>
      <c r="EC122" s="9"/>
      <c r="EF122" s="9"/>
      <c r="EI122" s="9"/>
      <c r="EL122" s="9"/>
      <c r="EO122" s="9"/>
      <c r="ER122" s="9"/>
      <c r="EU122" s="9"/>
      <c r="EX122" s="9"/>
      <c r="FA122" s="9"/>
      <c r="FD122" s="9"/>
      <c r="FG122" s="9"/>
      <c r="FJ122" s="9"/>
      <c r="FK122" s="8"/>
      <c r="FM122" s="9"/>
      <c r="FP122" s="9"/>
      <c r="FS122" s="9"/>
      <c r="FY122" s="9"/>
      <c r="GC122" s="8"/>
      <c r="GD122" s="8"/>
      <c r="GE122" s="9"/>
      <c r="GF122" s="8"/>
      <c r="GG122" s="8"/>
      <c r="GH122" s="9"/>
      <c r="GK122" s="9"/>
      <c r="GS122" s="8"/>
      <c r="GT122" s="8"/>
      <c r="HC122" s="9"/>
    </row>
    <row r="123" ht="15.75" customHeight="1">
      <c r="A123" s="1"/>
      <c r="D123" s="9"/>
      <c r="G123" s="9"/>
      <c r="J123" s="9"/>
      <c r="M123" s="9"/>
      <c r="P123" s="9"/>
      <c r="V123" s="9"/>
      <c r="Y123" s="9"/>
      <c r="AB123" s="9"/>
      <c r="AE123" s="9"/>
      <c r="AH123" s="9"/>
      <c r="AI123" s="10"/>
      <c r="AK123" s="9"/>
      <c r="AO123" s="23"/>
      <c r="AP123" s="23"/>
      <c r="AX123" s="24"/>
      <c r="AY123" s="24"/>
      <c r="BA123" s="8"/>
      <c r="BB123" s="8"/>
      <c r="BH123" s="23"/>
      <c r="BJ123" s="23"/>
      <c r="BK123" s="23"/>
      <c r="BM123" s="10"/>
      <c r="BN123" s="10"/>
      <c r="BP123" s="8"/>
      <c r="BQ123" s="8"/>
      <c r="BV123" s="23"/>
      <c r="BW123" s="23"/>
      <c r="BY123" s="8"/>
      <c r="BZ123" s="8"/>
      <c r="CA123" s="9"/>
      <c r="CB123" s="23"/>
      <c r="CC123" s="23"/>
      <c r="CD123" s="9"/>
      <c r="CG123" s="9"/>
      <c r="CJ123" s="9"/>
      <c r="CM123" s="9"/>
      <c r="CP123" s="9"/>
      <c r="CS123" s="9"/>
      <c r="CV123" s="9"/>
      <c r="CY123" s="9"/>
      <c r="DB123" s="9"/>
      <c r="DE123" s="9"/>
      <c r="DH123" s="9"/>
      <c r="DK123" s="9"/>
      <c r="DN123" s="9"/>
      <c r="DQ123" s="9"/>
      <c r="DT123" s="9"/>
      <c r="DW123" s="9"/>
      <c r="DX123" s="8"/>
      <c r="DY123" s="8"/>
      <c r="DZ123" s="9"/>
      <c r="EA123" s="8"/>
      <c r="EC123" s="9"/>
      <c r="EF123" s="9"/>
      <c r="EI123" s="9"/>
      <c r="EL123" s="9"/>
      <c r="EO123" s="9"/>
      <c r="ER123" s="9"/>
      <c r="EU123" s="9"/>
      <c r="EX123" s="9"/>
      <c r="FA123" s="9"/>
      <c r="FD123" s="9"/>
      <c r="FG123" s="9"/>
      <c r="FJ123" s="9"/>
      <c r="FK123" s="8"/>
      <c r="FM123" s="9"/>
      <c r="FP123" s="9"/>
      <c r="FS123" s="9"/>
      <c r="FY123" s="9"/>
      <c r="GC123" s="8"/>
      <c r="GD123" s="8"/>
      <c r="GE123" s="9"/>
      <c r="GF123" s="8"/>
      <c r="GG123" s="8"/>
      <c r="GH123" s="9"/>
      <c r="GK123" s="9"/>
      <c r="GS123" s="8"/>
      <c r="GT123" s="8"/>
      <c r="HC123" s="9"/>
    </row>
    <row r="124" ht="15.75" customHeight="1">
      <c r="A124" s="1"/>
      <c r="D124" s="9"/>
      <c r="G124" s="9"/>
      <c r="J124" s="9"/>
      <c r="M124" s="9"/>
      <c r="P124" s="9"/>
      <c r="V124" s="9"/>
      <c r="Y124" s="9"/>
      <c r="AB124" s="9"/>
      <c r="AE124" s="9"/>
      <c r="AH124" s="9"/>
      <c r="AI124" s="10"/>
      <c r="AK124" s="9"/>
      <c r="AO124" s="23"/>
      <c r="AP124" s="23"/>
      <c r="AX124" s="24"/>
      <c r="AY124" s="24"/>
      <c r="BA124" s="8"/>
      <c r="BB124" s="8"/>
      <c r="BH124" s="23"/>
      <c r="BJ124" s="23"/>
      <c r="BK124" s="23"/>
      <c r="BM124" s="10"/>
      <c r="BN124" s="10"/>
      <c r="BP124" s="8"/>
      <c r="BQ124" s="8"/>
      <c r="BV124" s="23"/>
      <c r="BW124" s="23"/>
      <c r="BY124" s="8"/>
      <c r="BZ124" s="8"/>
      <c r="CA124" s="9"/>
      <c r="CB124" s="23"/>
      <c r="CC124" s="23"/>
      <c r="CD124" s="9"/>
      <c r="CG124" s="9"/>
      <c r="CJ124" s="9"/>
      <c r="CM124" s="9"/>
      <c r="CP124" s="9"/>
      <c r="CS124" s="9"/>
      <c r="CV124" s="9"/>
      <c r="CY124" s="9"/>
      <c r="DB124" s="9"/>
      <c r="DE124" s="9"/>
      <c r="DH124" s="9"/>
      <c r="DK124" s="9"/>
      <c r="DN124" s="9"/>
      <c r="DQ124" s="9"/>
      <c r="DT124" s="9"/>
      <c r="DW124" s="9"/>
      <c r="DX124" s="8"/>
      <c r="DY124" s="8"/>
      <c r="DZ124" s="9"/>
      <c r="EA124" s="8"/>
      <c r="EC124" s="9"/>
      <c r="EF124" s="9"/>
      <c r="EI124" s="9"/>
      <c r="EL124" s="9"/>
      <c r="EO124" s="9"/>
      <c r="ER124" s="9"/>
      <c r="EU124" s="9"/>
      <c r="EX124" s="9"/>
      <c r="FA124" s="9"/>
      <c r="FD124" s="9"/>
      <c r="FG124" s="9"/>
      <c r="FJ124" s="9"/>
      <c r="FK124" s="8"/>
      <c r="FM124" s="9"/>
      <c r="FP124" s="9"/>
      <c r="FS124" s="9"/>
      <c r="FY124" s="9"/>
      <c r="GC124" s="8"/>
      <c r="GD124" s="8"/>
      <c r="GE124" s="9"/>
      <c r="GF124" s="8"/>
      <c r="GG124" s="8"/>
      <c r="GH124" s="9"/>
      <c r="GK124" s="9"/>
      <c r="GS124" s="8"/>
      <c r="GT124" s="8"/>
      <c r="HC124" s="9"/>
    </row>
    <row r="125" ht="15.75" customHeight="1">
      <c r="A125" s="1"/>
      <c r="D125" s="9"/>
      <c r="G125" s="9"/>
      <c r="J125" s="9"/>
      <c r="M125" s="9"/>
      <c r="P125" s="9"/>
      <c r="V125" s="9"/>
      <c r="Y125" s="9"/>
      <c r="AB125" s="9"/>
      <c r="AE125" s="9"/>
      <c r="AH125" s="9"/>
      <c r="AI125" s="10"/>
      <c r="AK125" s="9"/>
      <c r="AO125" s="23"/>
      <c r="AP125" s="23"/>
      <c r="AX125" s="24"/>
      <c r="AY125" s="24"/>
      <c r="BA125" s="8"/>
      <c r="BB125" s="8"/>
      <c r="BH125" s="23"/>
      <c r="BJ125" s="23"/>
      <c r="BK125" s="23"/>
      <c r="BM125" s="10"/>
      <c r="BN125" s="10"/>
      <c r="BP125" s="8"/>
      <c r="BQ125" s="8"/>
      <c r="BV125" s="23"/>
      <c r="BW125" s="23"/>
      <c r="BY125" s="8"/>
      <c r="BZ125" s="8"/>
      <c r="CA125" s="9"/>
      <c r="CB125" s="23"/>
      <c r="CC125" s="23"/>
      <c r="CD125" s="9"/>
      <c r="CG125" s="9"/>
      <c r="CJ125" s="9"/>
      <c r="CM125" s="9"/>
      <c r="CP125" s="9"/>
      <c r="CS125" s="9"/>
      <c r="CV125" s="9"/>
      <c r="CY125" s="9"/>
      <c r="DB125" s="9"/>
      <c r="DE125" s="9"/>
      <c r="DH125" s="9"/>
      <c r="DK125" s="9"/>
      <c r="DN125" s="9"/>
      <c r="DQ125" s="9"/>
      <c r="DT125" s="9"/>
      <c r="DW125" s="9"/>
      <c r="DX125" s="8"/>
      <c r="DY125" s="8"/>
      <c r="DZ125" s="9"/>
      <c r="EA125" s="8"/>
      <c r="EC125" s="9"/>
      <c r="EF125" s="9"/>
      <c r="EI125" s="9"/>
      <c r="EL125" s="9"/>
      <c r="EO125" s="9"/>
      <c r="ER125" s="9"/>
      <c r="EU125" s="9"/>
      <c r="EX125" s="9"/>
      <c r="FA125" s="9"/>
      <c r="FD125" s="9"/>
      <c r="FG125" s="9"/>
      <c r="FJ125" s="9"/>
      <c r="FK125" s="8"/>
      <c r="FM125" s="9"/>
      <c r="FP125" s="9"/>
      <c r="FS125" s="9"/>
      <c r="FY125" s="9"/>
      <c r="GC125" s="8"/>
      <c r="GD125" s="8"/>
      <c r="GE125" s="9"/>
      <c r="GF125" s="8"/>
      <c r="GG125" s="8"/>
      <c r="GH125" s="9"/>
      <c r="GK125" s="9"/>
      <c r="GS125" s="8"/>
      <c r="GT125" s="8"/>
      <c r="HC125" s="9"/>
    </row>
    <row r="126" ht="15.75" customHeight="1">
      <c r="A126" s="1"/>
      <c r="D126" s="9"/>
      <c r="G126" s="9"/>
      <c r="J126" s="9"/>
      <c r="M126" s="9"/>
      <c r="P126" s="9"/>
      <c r="V126" s="9"/>
      <c r="Y126" s="9"/>
      <c r="AB126" s="9"/>
      <c r="AE126" s="9"/>
      <c r="AH126" s="9"/>
      <c r="AI126" s="10"/>
      <c r="AK126" s="9"/>
      <c r="AO126" s="23"/>
      <c r="AP126" s="23"/>
      <c r="AX126" s="24"/>
      <c r="AY126" s="24"/>
      <c r="BA126" s="8"/>
      <c r="BB126" s="8"/>
      <c r="BH126" s="23"/>
      <c r="BJ126" s="23"/>
      <c r="BK126" s="23"/>
      <c r="BM126" s="10"/>
      <c r="BN126" s="10"/>
      <c r="BP126" s="8"/>
      <c r="BQ126" s="8"/>
      <c r="BV126" s="23"/>
      <c r="BW126" s="23"/>
      <c r="BY126" s="8"/>
      <c r="BZ126" s="8"/>
      <c r="CA126" s="9"/>
      <c r="CB126" s="23"/>
      <c r="CC126" s="23"/>
      <c r="CD126" s="9"/>
      <c r="CG126" s="9"/>
      <c r="CJ126" s="9"/>
      <c r="CM126" s="9"/>
      <c r="CP126" s="9"/>
      <c r="CS126" s="9"/>
      <c r="CV126" s="9"/>
      <c r="CY126" s="9"/>
      <c r="DB126" s="9"/>
      <c r="DE126" s="9"/>
      <c r="DH126" s="9"/>
      <c r="DK126" s="9"/>
      <c r="DN126" s="9"/>
      <c r="DQ126" s="9"/>
      <c r="DT126" s="9"/>
      <c r="DW126" s="9"/>
      <c r="DX126" s="8"/>
      <c r="DY126" s="8"/>
      <c r="DZ126" s="9"/>
      <c r="EA126" s="8"/>
      <c r="EC126" s="9"/>
      <c r="EF126" s="9"/>
      <c r="EI126" s="9"/>
      <c r="EL126" s="9"/>
      <c r="EO126" s="9"/>
      <c r="ER126" s="9"/>
      <c r="EU126" s="9"/>
      <c r="EX126" s="9"/>
      <c r="FA126" s="9"/>
      <c r="FD126" s="9"/>
      <c r="FG126" s="9"/>
      <c r="FJ126" s="9"/>
      <c r="FK126" s="8"/>
      <c r="FM126" s="9"/>
      <c r="FP126" s="9"/>
      <c r="FS126" s="9"/>
      <c r="FY126" s="9"/>
      <c r="GC126" s="8"/>
      <c r="GD126" s="8"/>
      <c r="GE126" s="9"/>
      <c r="GF126" s="8"/>
      <c r="GG126" s="8"/>
      <c r="GH126" s="9"/>
      <c r="GK126" s="9"/>
      <c r="GS126" s="8"/>
      <c r="GT126" s="8"/>
      <c r="HC126" s="9"/>
    </row>
    <row r="127" ht="15.75" customHeight="1">
      <c r="A127" s="1"/>
      <c r="D127" s="9"/>
      <c r="G127" s="9"/>
      <c r="J127" s="9"/>
      <c r="M127" s="9"/>
      <c r="P127" s="9"/>
      <c r="V127" s="9"/>
      <c r="Y127" s="9"/>
      <c r="AB127" s="9"/>
      <c r="AE127" s="9"/>
      <c r="AH127" s="9"/>
      <c r="AI127" s="10"/>
      <c r="AK127" s="9"/>
      <c r="AO127" s="23"/>
      <c r="AP127" s="23"/>
      <c r="AX127" s="24"/>
      <c r="AY127" s="24"/>
      <c r="BA127" s="8"/>
      <c r="BB127" s="8"/>
      <c r="BH127" s="23"/>
      <c r="BJ127" s="23"/>
      <c r="BK127" s="23"/>
      <c r="BM127" s="10"/>
      <c r="BN127" s="10"/>
      <c r="BP127" s="8"/>
      <c r="BQ127" s="8"/>
      <c r="BV127" s="23"/>
      <c r="BW127" s="23"/>
      <c r="BY127" s="8"/>
      <c r="BZ127" s="8"/>
      <c r="CA127" s="9"/>
      <c r="CB127" s="23"/>
      <c r="CC127" s="23"/>
      <c r="CD127" s="9"/>
      <c r="CG127" s="9"/>
      <c r="CJ127" s="9"/>
      <c r="CM127" s="9"/>
      <c r="CP127" s="9"/>
      <c r="CS127" s="9"/>
      <c r="CV127" s="9"/>
      <c r="CY127" s="9"/>
      <c r="DB127" s="9"/>
      <c r="DE127" s="9"/>
      <c r="DH127" s="9"/>
      <c r="DK127" s="9"/>
      <c r="DN127" s="9"/>
      <c r="DQ127" s="9"/>
      <c r="DT127" s="9"/>
      <c r="DW127" s="9"/>
      <c r="DX127" s="8"/>
      <c r="DY127" s="8"/>
      <c r="DZ127" s="9"/>
      <c r="EA127" s="8"/>
      <c r="EC127" s="9"/>
      <c r="EF127" s="9"/>
      <c r="EI127" s="9"/>
      <c r="EL127" s="9"/>
      <c r="EO127" s="9"/>
      <c r="ER127" s="9"/>
      <c r="EU127" s="9"/>
      <c r="EX127" s="9"/>
      <c r="FA127" s="9"/>
      <c r="FD127" s="9"/>
      <c r="FG127" s="9"/>
      <c r="FJ127" s="9"/>
      <c r="FK127" s="8"/>
      <c r="FM127" s="9"/>
      <c r="FP127" s="9"/>
      <c r="FS127" s="9"/>
      <c r="FY127" s="9"/>
      <c r="GC127" s="8"/>
      <c r="GD127" s="8"/>
      <c r="GE127" s="9"/>
      <c r="GF127" s="8"/>
      <c r="GG127" s="8"/>
      <c r="GH127" s="9"/>
      <c r="GK127" s="9"/>
      <c r="GS127" s="8"/>
      <c r="GT127" s="8"/>
      <c r="HC127" s="9"/>
    </row>
    <row r="128" ht="15.75" customHeight="1">
      <c r="A128" s="1"/>
      <c r="D128" s="9"/>
      <c r="G128" s="9"/>
      <c r="J128" s="9"/>
      <c r="M128" s="9"/>
      <c r="P128" s="9"/>
      <c r="V128" s="9"/>
      <c r="Y128" s="9"/>
      <c r="AB128" s="9"/>
      <c r="AE128" s="9"/>
      <c r="AH128" s="9"/>
      <c r="AI128" s="10"/>
      <c r="AK128" s="9"/>
      <c r="AO128" s="23"/>
      <c r="AP128" s="23"/>
      <c r="AX128" s="24"/>
      <c r="AY128" s="24"/>
      <c r="BA128" s="8"/>
      <c r="BB128" s="8"/>
      <c r="BH128" s="23"/>
      <c r="BJ128" s="23"/>
      <c r="BK128" s="23"/>
      <c r="BM128" s="10"/>
      <c r="BN128" s="10"/>
      <c r="BP128" s="8"/>
      <c r="BQ128" s="8"/>
      <c r="BV128" s="23"/>
      <c r="BW128" s="23"/>
      <c r="BY128" s="8"/>
      <c r="BZ128" s="8"/>
      <c r="CA128" s="9"/>
      <c r="CB128" s="23"/>
      <c r="CC128" s="23"/>
      <c r="CD128" s="9"/>
      <c r="CG128" s="9"/>
      <c r="CJ128" s="9"/>
      <c r="CM128" s="9"/>
      <c r="CP128" s="9"/>
      <c r="CS128" s="9"/>
      <c r="CV128" s="9"/>
      <c r="CY128" s="9"/>
      <c r="DB128" s="9"/>
      <c r="DE128" s="9"/>
      <c r="DH128" s="9"/>
      <c r="DK128" s="9"/>
      <c r="DN128" s="9"/>
      <c r="DQ128" s="9"/>
      <c r="DT128" s="9"/>
      <c r="DW128" s="9"/>
      <c r="DX128" s="8"/>
      <c r="DY128" s="8"/>
      <c r="DZ128" s="9"/>
      <c r="EA128" s="8"/>
      <c r="EC128" s="9"/>
      <c r="EF128" s="9"/>
      <c r="EI128" s="9"/>
      <c r="EL128" s="9"/>
      <c r="EO128" s="9"/>
      <c r="ER128" s="9"/>
      <c r="EU128" s="9"/>
      <c r="EX128" s="9"/>
      <c r="FA128" s="9"/>
      <c r="FD128" s="9"/>
      <c r="FG128" s="9"/>
      <c r="FJ128" s="9"/>
      <c r="FK128" s="8"/>
      <c r="FM128" s="9"/>
      <c r="FP128" s="9"/>
      <c r="FS128" s="9"/>
      <c r="FY128" s="9"/>
      <c r="GC128" s="8"/>
      <c r="GD128" s="8"/>
      <c r="GE128" s="9"/>
      <c r="GF128" s="8"/>
      <c r="GG128" s="8"/>
      <c r="GH128" s="9"/>
      <c r="GK128" s="9"/>
      <c r="GS128" s="8"/>
      <c r="GT128" s="8"/>
      <c r="HC128" s="9"/>
    </row>
    <row r="129" ht="15.75" customHeight="1">
      <c r="A129" s="1"/>
      <c r="D129" s="9"/>
      <c r="G129" s="9"/>
      <c r="J129" s="9"/>
      <c r="M129" s="9"/>
      <c r="P129" s="9"/>
      <c r="V129" s="9"/>
      <c r="Y129" s="9"/>
      <c r="AB129" s="9"/>
      <c r="AE129" s="9"/>
      <c r="AH129" s="9"/>
      <c r="AI129" s="10"/>
      <c r="AK129" s="9"/>
      <c r="AO129" s="23"/>
      <c r="AP129" s="23"/>
      <c r="AX129" s="24"/>
      <c r="AY129" s="24"/>
      <c r="BA129" s="8"/>
      <c r="BB129" s="8"/>
      <c r="BH129" s="23"/>
      <c r="BJ129" s="23"/>
      <c r="BK129" s="23"/>
      <c r="BM129" s="10"/>
      <c r="BN129" s="10"/>
      <c r="BP129" s="8"/>
      <c r="BQ129" s="8"/>
      <c r="BV129" s="23"/>
      <c r="BW129" s="23"/>
      <c r="BY129" s="8"/>
      <c r="BZ129" s="8"/>
      <c r="CA129" s="9"/>
      <c r="CB129" s="23"/>
      <c r="CC129" s="23"/>
      <c r="CD129" s="9"/>
      <c r="CG129" s="9"/>
      <c r="CJ129" s="9"/>
      <c r="CM129" s="9"/>
      <c r="CP129" s="9"/>
      <c r="CS129" s="9"/>
      <c r="CV129" s="9"/>
      <c r="CY129" s="9"/>
      <c r="DB129" s="9"/>
      <c r="DE129" s="9"/>
      <c r="DH129" s="9"/>
      <c r="DK129" s="9"/>
      <c r="DN129" s="9"/>
      <c r="DQ129" s="9"/>
      <c r="DT129" s="9"/>
      <c r="DW129" s="9"/>
      <c r="DX129" s="8"/>
      <c r="DY129" s="8"/>
      <c r="DZ129" s="9"/>
      <c r="EA129" s="8"/>
      <c r="EC129" s="9"/>
      <c r="EF129" s="9"/>
      <c r="EI129" s="9"/>
      <c r="EL129" s="9"/>
      <c r="EO129" s="9"/>
      <c r="ER129" s="9"/>
      <c r="EU129" s="9"/>
      <c r="EX129" s="9"/>
      <c r="FA129" s="9"/>
      <c r="FD129" s="9"/>
      <c r="FG129" s="9"/>
      <c r="FJ129" s="9"/>
      <c r="FK129" s="8"/>
      <c r="FM129" s="9"/>
      <c r="FP129" s="9"/>
      <c r="FS129" s="9"/>
      <c r="FY129" s="9"/>
      <c r="GC129" s="8"/>
      <c r="GD129" s="8"/>
      <c r="GE129" s="9"/>
      <c r="GF129" s="8"/>
      <c r="GG129" s="8"/>
      <c r="GH129" s="9"/>
      <c r="GK129" s="9"/>
      <c r="GS129" s="8"/>
      <c r="GT129" s="8"/>
      <c r="HC129" s="9"/>
    </row>
    <row r="130" ht="15.75" customHeight="1">
      <c r="A130" s="1"/>
      <c r="D130" s="9"/>
      <c r="G130" s="9"/>
      <c r="J130" s="9"/>
      <c r="M130" s="9"/>
      <c r="P130" s="9"/>
      <c r="V130" s="9"/>
      <c r="Y130" s="9"/>
      <c r="AB130" s="9"/>
      <c r="AE130" s="9"/>
      <c r="AH130" s="9"/>
      <c r="AI130" s="10"/>
      <c r="AK130" s="9"/>
      <c r="AO130" s="23"/>
      <c r="AP130" s="23"/>
      <c r="AX130" s="24"/>
      <c r="AY130" s="24"/>
      <c r="BA130" s="8"/>
      <c r="BB130" s="8"/>
      <c r="BH130" s="23"/>
      <c r="BJ130" s="23"/>
      <c r="BK130" s="23"/>
      <c r="BM130" s="10"/>
      <c r="BN130" s="10"/>
      <c r="BP130" s="8"/>
      <c r="BQ130" s="8"/>
      <c r="BV130" s="23"/>
      <c r="BW130" s="23"/>
      <c r="BY130" s="8"/>
      <c r="BZ130" s="8"/>
      <c r="CA130" s="9"/>
      <c r="CB130" s="23"/>
      <c r="CC130" s="23"/>
      <c r="CD130" s="9"/>
      <c r="CG130" s="9"/>
      <c r="CJ130" s="9"/>
      <c r="CM130" s="9"/>
      <c r="CP130" s="9"/>
      <c r="CS130" s="9"/>
      <c r="CV130" s="9"/>
      <c r="CY130" s="9"/>
      <c r="DB130" s="9"/>
      <c r="DE130" s="9"/>
      <c r="DH130" s="9"/>
      <c r="DK130" s="9"/>
      <c r="DN130" s="9"/>
      <c r="DQ130" s="9"/>
      <c r="DT130" s="9"/>
      <c r="DW130" s="9"/>
      <c r="DX130" s="8"/>
      <c r="DY130" s="8"/>
      <c r="DZ130" s="9"/>
      <c r="EA130" s="8"/>
      <c r="EC130" s="9"/>
      <c r="EF130" s="9"/>
      <c r="EI130" s="9"/>
      <c r="EL130" s="9"/>
      <c r="EO130" s="9"/>
      <c r="ER130" s="9"/>
      <c r="EU130" s="9"/>
      <c r="EX130" s="9"/>
      <c r="FA130" s="9"/>
      <c r="FD130" s="9"/>
      <c r="FG130" s="9"/>
      <c r="FJ130" s="9"/>
      <c r="FK130" s="8"/>
      <c r="FM130" s="9"/>
      <c r="FP130" s="9"/>
      <c r="FS130" s="9"/>
      <c r="FY130" s="9"/>
      <c r="GC130" s="8"/>
      <c r="GD130" s="8"/>
      <c r="GE130" s="9"/>
      <c r="GF130" s="8"/>
      <c r="GG130" s="8"/>
      <c r="GH130" s="9"/>
      <c r="GK130" s="9"/>
      <c r="GS130" s="8"/>
      <c r="GT130" s="8"/>
      <c r="HC130" s="9"/>
    </row>
    <row r="131" ht="15.75" customHeight="1">
      <c r="A131" s="1"/>
      <c r="D131" s="9"/>
      <c r="G131" s="9"/>
      <c r="J131" s="9"/>
      <c r="M131" s="9"/>
      <c r="P131" s="9"/>
      <c r="V131" s="9"/>
      <c r="Y131" s="9"/>
      <c r="AB131" s="9"/>
      <c r="AE131" s="9"/>
      <c r="AH131" s="9"/>
      <c r="AI131" s="10"/>
      <c r="AK131" s="9"/>
      <c r="AO131" s="23"/>
      <c r="AP131" s="23"/>
      <c r="AX131" s="24"/>
      <c r="AY131" s="24"/>
      <c r="BA131" s="8"/>
      <c r="BB131" s="8"/>
      <c r="BH131" s="23"/>
      <c r="BJ131" s="23"/>
      <c r="BK131" s="23"/>
      <c r="BM131" s="10"/>
      <c r="BN131" s="10"/>
      <c r="BP131" s="8"/>
      <c r="BQ131" s="8"/>
      <c r="BV131" s="23"/>
      <c r="BW131" s="23"/>
      <c r="BY131" s="8"/>
      <c r="BZ131" s="8"/>
      <c r="CA131" s="9"/>
      <c r="CB131" s="23"/>
      <c r="CC131" s="23"/>
      <c r="CD131" s="9"/>
      <c r="CG131" s="9"/>
      <c r="CJ131" s="9"/>
      <c r="CM131" s="9"/>
      <c r="CP131" s="9"/>
      <c r="CS131" s="9"/>
      <c r="CV131" s="9"/>
      <c r="CY131" s="9"/>
      <c r="DB131" s="9"/>
      <c r="DE131" s="9"/>
      <c r="DH131" s="9"/>
      <c r="DK131" s="9"/>
      <c r="DN131" s="9"/>
      <c r="DQ131" s="9"/>
      <c r="DT131" s="9"/>
      <c r="DW131" s="9"/>
      <c r="DX131" s="8"/>
      <c r="DY131" s="8"/>
      <c r="DZ131" s="9"/>
      <c r="EA131" s="8"/>
      <c r="EC131" s="9"/>
      <c r="EF131" s="9"/>
      <c r="EI131" s="9"/>
      <c r="EL131" s="9"/>
      <c r="EO131" s="9"/>
      <c r="ER131" s="9"/>
      <c r="EU131" s="9"/>
      <c r="EX131" s="9"/>
      <c r="FA131" s="9"/>
      <c r="FD131" s="9"/>
      <c r="FG131" s="9"/>
      <c r="FJ131" s="9"/>
      <c r="FK131" s="8"/>
      <c r="FM131" s="9"/>
      <c r="FP131" s="9"/>
      <c r="FS131" s="9"/>
      <c r="FY131" s="9"/>
      <c r="GC131" s="8"/>
      <c r="GD131" s="8"/>
      <c r="GE131" s="9"/>
      <c r="GF131" s="8"/>
      <c r="GG131" s="8"/>
      <c r="GH131" s="9"/>
      <c r="GK131" s="9"/>
      <c r="GS131" s="8"/>
      <c r="GT131" s="8"/>
      <c r="HC131" s="9"/>
    </row>
    <row r="132" ht="15.75" customHeight="1">
      <c r="A132" s="1"/>
      <c r="D132" s="9"/>
      <c r="G132" s="9"/>
      <c r="J132" s="9"/>
      <c r="M132" s="9"/>
      <c r="P132" s="9"/>
      <c r="V132" s="9"/>
      <c r="Y132" s="9"/>
      <c r="AB132" s="9"/>
      <c r="AE132" s="9"/>
      <c r="AH132" s="9"/>
      <c r="AI132" s="10"/>
      <c r="AK132" s="9"/>
      <c r="AO132" s="23"/>
      <c r="AP132" s="23"/>
      <c r="AX132" s="24"/>
      <c r="AY132" s="24"/>
      <c r="BA132" s="8"/>
      <c r="BB132" s="8"/>
      <c r="BH132" s="23"/>
      <c r="BJ132" s="23"/>
      <c r="BK132" s="23"/>
      <c r="BM132" s="10"/>
      <c r="BN132" s="10"/>
      <c r="BP132" s="8"/>
      <c r="BQ132" s="8"/>
      <c r="BV132" s="23"/>
      <c r="BW132" s="23"/>
      <c r="BY132" s="8"/>
      <c r="BZ132" s="8"/>
      <c r="CA132" s="9"/>
      <c r="CB132" s="23"/>
      <c r="CC132" s="23"/>
      <c r="CD132" s="9"/>
      <c r="CG132" s="9"/>
      <c r="CJ132" s="9"/>
      <c r="CM132" s="9"/>
      <c r="CP132" s="9"/>
      <c r="CS132" s="9"/>
      <c r="CV132" s="9"/>
      <c r="CY132" s="9"/>
      <c r="DB132" s="9"/>
      <c r="DE132" s="9"/>
      <c r="DH132" s="9"/>
      <c r="DK132" s="9"/>
      <c r="DN132" s="9"/>
      <c r="DQ132" s="9"/>
      <c r="DT132" s="9"/>
      <c r="DW132" s="9"/>
      <c r="DX132" s="8"/>
      <c r="DY132" s="8"/>
      <c r="DZ132" s="9"/>
      <c r="EA132" s="8"/>
      <c r="EC132" s="9"/>
      <c r="EF132" s="9"/>
      <c r="EI132" s="9"/>
      <c r="EL132" s="9"/>
      <c r="EO132" s="9"/>
      <c r="ER132" s="9"/>
      <c r="EU132" s="9"/>
      <c r="EX132" s="9"/>
      <c r="FA132" s="9"/>
      <c r="FD132" s="9"/>
      <c r="FG132" s="9"/>
      <c r="FJ132" s="9"/>
      <c r="FK132" s="8"/>
      <c r="FM132" s="9"/>
      <c r="FP132" s="9"/>
      <c r="FS132" s="9"/>
      <c r="FY132" s="9"/>
      <c r="GC132" s="8"/>
      <c r="GD132" s="8"/>
      <c r="GE132" s="9"/>
      <c r="GF132" s="8"/>
      <c r="GG132" s="8"/>
      <c r="GH132" s="9"/>
      <c r="GK132" s="9"/>
      <c r="GS132" s="8"/>
      <c r="GT132" s="8"/>
      <c r="HC132" s="9"/>
    </row>
    <row r="133" ht="15.75" customHeight="1">
      <c r="A133" s="1"/>
      <c r="D133" s="9"/>
      <c r="G133" s="9"/>
      <c r="J133" s="9"/>
      <c r="M133" s="9"/>
      <c r="P133" s="9"/>
      <c r="V133" s="9"/>
      <c r="Y133" s="9"/>
      <c r="AB133" s="9"/>
      <c r="AE133" s="9"/>
      <c r="AH133" s="9"/>
      <c r="AI133" s="10"/>
      <c r="AK133" s="9"/>
      <c r="AO133" s="23"/>
      <c r="AP133" s="23"/>
      <c r="AX133" s="24"/>
      <c r="AY133" s="24"/>
      <c r="BA133" s="8"/>
      <c r="BB133" s="8"/>
      <c r="BH133" s="23"/>
      <c r="BJ133" s="23"/>
      <c r="BK133" s="23"/>
      <c r="BM133" s="10"/>
      <c r="BN133" s="10"/>
      <c r="BP133" s="8"/>
      <c r="BQ133" s="8"/>
      <c r="BV133" s="23"/>
      <c r="BW133" s="23"/>
      <c r="BY133" s="8"/>
      <c r="BZ133" s="8"/>
      <c r="CA133" s="9"/>
      <c r="CB133" s="23"/>
      <c r="CC133" s="23"/>
      <c r="CD133" s="9"/>
      <c r="CG133" s="9"/>
      <c r="CJ133" s="9"/>
      <c r="CM133" s="9"/>
      <c r="CP133" s="9"/>
      <c r="CS133" s="9"/>
      <c r="CV133" s="9"/>
      <c r="CY133" s="9"/>
      <c r="DB133" s="9"/>
      <c r="DE133" s="9"/>
      <c r="DH133" s="9"/>
      <c r="DK133" s="9"/>
      <c r="DN133" s="9"/>
      <c r="DQ133" s="9"/>
      <c r="DT133" s="9"/>
      <c r="DW133" s="9"/>
      <c r="DX133" s="8"/>
      <c r="DY133" s="8"/>
      <c r="DZ133" s="9"/>
      <c r="EA133" s="8"/>
      <c r="EC133" s="9"/>
      <c r="EF133" s="9"/>
      <c r="EI133" s="9"/>
      <c r="EL133" s="9"/>
      <c r="EO133" s="9"/>
      <c r="ER133" s="9"/>
      <c r="EU133" s="9"/>
      <c r="EX133" s="9"/>
      <c r="FA133" s="9"/>
      <c r="FD133" s="9"/>
      <c r="FG133" s="9"/>
      <c r="FJ133" s="9"/>
      <c r="FK133" s="8"/>
      <c r="FM133" s="9"/>
      <c r="FP133" s="9"/>
      <c r="FS133" s="9"/>
      <c r="FY133" s="9"/>
      <c r="GC133" s="8"/>
      <c r="GD133" s="8"/>
      <c r="GE133" s="9"/>
      <c r="GF133" s="8"/>
      <c r="GG133" s="8"/>
      <c r="GH133" s="9"/>
      <c r="GK133" s="9"/>
      <c r="GS133" s="8"/>
      <c r="GT133" s="8"/>
      <c r="HC133" s="9"/>
    </row>
    <row r="134" ht="15.75" customHeight="1">
      <c r="A134" s="1"/>
      <c r="D134" s="9"/>
      <c r="G134" s="9"/>
      <c r="J134" s="9"/>
      <c r="M134" s="9"/>
      <c r="P134" s="9"/>
      <c r="V134" s="9"/>
      <c r="Y134" s="9"/>
      <c r="AB134" s="9"/>
      <c r="AE134" s="9"/>
      <c r="AH134" s="9"/>
      <c r="AI134" s="10"/>
      <c r="AK134" s="9"/>
      <c r="AO134" s="23"/>
      <c r="AP134" s="23"/>
      <c r="AX134" s="24"/>
      <c r="AY134" s="24"/>
      <c r="BA134" s="8"/>
      <c r="BB134" s="8"/>
      <c r="BH134" s="23"/>
      <c r="BJ134" s="23"/>
      <c r="BK134" s="23"/>
      <c r="BM134" s="10"/>
      <c r="BN134" s="10"/>
      <c r="BP134" s="8"/>
      <c r="BQ134" s="8"/>
      <c r="BV134" s="23"/>
      <c r="BW134" s="23"/>
      <c r="BY134" s="8"/>
      <c r="BZ134" s="8"/>
      <c r="CA134" s="9"/>
      <c r="CB134" s="23"/>
      <c r="CC134" s="23"/>
      <c r="CD134" s="9"/>
      <c r="CG134" s="9"/>
      <c r="CJ134" s="9"/>
      <c r="CM134" s="9"/>
      <c r="CP134" s="9"/>
      <c r="CS134" s="9"/>
      <c r="CV134" s="9"/>
      <c r="CY134" s="9"/>
      <c r="DB134" s="9"/>
      <c r="DE134" s="9"/>
      <c r="DH134" s="9"/>
      <c r="DK134" s="9"/>
      <c r="DN134" s="9"/>
      <c r="DQ134" s="9"/>
      <c r="DT134" s="9"/>
      <c r="DW134" s="9"/>
      <c r="DX134" s="8"/>
      <c r="DY134" s="8"/>
      <c r="DZ134" s="9"/>
      <c r="EA134" s="8"/>
      <c r="EC134" s="9"/>
      <c r="EF134" s="9"/>
      <c r="EI134" s="9"/>
      <c r="EL134" s="9"/>
      <c r="EO134" s="9"/>
      <c r="ER134" s="9"/>
      <c r="EU134" s="9"/>
      <c r="EX134" s="9"/>
      <c r="FA134" s="9"/>
      <c r="FD134" s="9"/>
      <c r="FG134" s="9"/>
      <c r="FJ134" s="9"/>
      <c r="FK134" s="8"/>
      <c r="FM134" s="9"/>
      <c r="FP134" s="9"/>
      <c r="FS134" s="9"/>
      <c r="FY134" s="9"/>
      <c r="GC134" s="8"/>
      <c r="GD134" s="8"/>
      <c r="GE134" s="9"/>
      <c r="GF134" s="8"/>
      <c r="GG134" s="8"/>
      <c r="GH134" s="9"/>
      <c r="GK134" s="9"/>
      <c r="GS134" s="8"/>
      <c r="GT134" s="8"/>
      <c r="HC134" s="9"/>
    </row>
    <row r="135" ht="15.75" customHeight="1">
      <c r="A135" s="1"/>
      <c r="D135" s="9"/>
      <c r="G135" s="9"/>
      <c r="J135" s="9"/>
      <c r="M135" s="9"/>
      <c r="P135" s="9"/>
      <c r="V135" s="9"/>
      <c r="Y135" s="9"/>
      <c r="AB135" s="9"/>
      <c r="AE135" s="9"/>
      <c r="AH135" s="9"/>
      <c r="AI135" s="10"/>
      <c r="AK135" s="9"/>
      <c r="AO135" s="23"/>
      <c r="AP135" s="23"/>
      <c r="AX135" s="24"/>
      <c r="AY135" s="24"/>
      <c r="BA135" s="8"/>
      <c r="BB135" s="8"/>
      <c r="BH135" s="23"/>
      <c r="BJ135" s="23"/>
      <c r="BK135" s="23"/>
      <c r="BM135" s="10"/>
      <c r="BN135" s="10"/>
      <c r="BP135" s="8"/>
      <c r="BQ135" s="8"/>
      <c r="BV135" s="23"/>
      <c r="BW135" s="23"/>
      <c r="BY135" s="8"/>
      <c r="BZ135" s="8"/>
      <c r="CA135" s="9"/>
      <c r="CB135" s="23"/>
      <c r="CC135" s="23"/>
      <c r="CD135" s="9"/>
      <c r="CG135" s="9"/>
      <c r="CJ135" s="9"/>
      <c r="CM135" s="9"/>
      <c r="CP135" s="9"/>
      <c r="CS135" s="9"/>
      <c r="CV135" s="9"/>
      <c r="CY135" s="9"/>
      <c r="DB135" s="9"/>
      <c r="DE135" s="9"/>
      <c r="DH135" s="9"/>
      <c r="DK135" s="9"/>
      <c r="DN135" s="9"/>
      <c r="DQ135" s="9"/>
      <c r="DT135" s="9"/>
      <c r="DW135" s="9"/>
      <c r="DX135" s="8"/>
      <c r="DY135" s="8"/>
      <c r="DZ135" s="9"/>
      <c r="EA135" s="8"/>
      <c r="EC135" s="9"/>
      <c r="EF135" s="9"/>
      <c r="EI135" s="9"/>
      <c r="EL135" s="9"/>
      <c r="EO135" s="9"/>
      <c r="ER135" s="9"/>
      <c r="EU135" s="9"/>
      <c r="EX135" s="9"/>
      <c r="FA135" s="9"/>
      <c r="FD135" s="9"/>
      <c r="FG135" s="9"/>
      <c r="FJ135" s="9"/>
      <c r="FK135" s="8"/>
      <c r="FM135" s="9"/>
      <c r="FP135" s="9"/>
      <c r="FS135" s="9"/>
      <c r="FY135" s="9"/>
      <c r="GC135" s="8"/>
      <c r="GD135" s="8"/>
      <c r="GE135" s="9"/>
      <c r="GF135" s="8"/>
      <c r="GG135" s="8"/>
      <c r="GH135" s="9"/>
      <c r="GK135" s="9"/>
      <c r="GS135" s="8"/>
      <c r="GT135" s="8"/>
      <c r="HC135" s="9"/>
    </row>
    <row r="136" ht="15.75" customHeight="1">
      <c r="A136" s="1"/>
      <c r="D136" s="9"/>
      <c r="G136" s="9"/>
      <c r="J136" s="9"/>
      <c r="M136" s="9"/>
      <c r="P136" s="9"/>
      <c r="V136" s="9"/>
      <c r="Y136" s="9"/>
      <c r="AB136" s="9"/>
      <c r="AE136" s="9"/>
      <c r="AH136" s="9"/>
      <c r="AI136" s="10"/>
      <c r="AK136" s="9"/>
      <c r="AO136" s="23"/>
      <c r="AP136" s="23"/>
      <c r="AX136" s="24"/>
      <c r="AY136" s="24"/>
      <c r="BA136" s="8"/>
      <c r="BB136" s="8"/>
      <c r="BH136" s="23"/>
      <c r="BJ136" s="23"/>
      <c r="BK136" s="23"/>
      <c r="BM136" s="10"/>
      <c r="BN136" s="10"/>
      <c r="BP136" s="8"/>
      <c r="BQ136" s="8"/>
      <c r="BV136" s="23"/>
      <c r="BW136" s="23"/>
      <c r="BY136" s="8"/>
      <c r="BZ136" s="8"/>
      <c r="CA136" s="9"/>
      <c r="CB136" s="23"/>
      <c r="CC136" s="23"/>
      <c r="CD136" s="9"/>
      <c r="CG136" s="9"/>
      <c r="CJ136" s="9"/>
      <c r="CM136" s="9"/>
      <c r="CP136" s="9"/>
      <c r="CS136" s="9"/>
      <c r="CV136" s="9"/>
      <c r="CY136" s="9"/>
      <c r="DB136" s="9"/>
      <c r="DE136" s="9"/>
      <c r="DH136" s="9"/>
      <c r="DK136" s="9"/>
      <c r="DN136" s="9"/>
      <c r="DQ136" s="9"/>
      <c r="DT136" s="9"/>
      <c r="DW136" s="9"/>
      <c r="DX136" s="8"/>
      <c r="DY136" s="8"/>
      <c r="DZ136" s="9"/>
      <c r="EA136" s="8"/>
      <c r="EC136" s="9"/>
      <c r="EF136" s="9"/>
      <c r="EI136" s="9"/>
      <c r="EL136" s="9"/>
      <c r="EO136" s="9"/>
      <c r="ER136" s="9"/>
      <c r="EU136" s="9"/>
      <c r="EX136" s="9"/>
      <c r="FA136" s="9"/>
      <c r="FD136" s="9"/>
      <c r="FG136" s="9"/>
      <c r="FJ136" s="9"/>
      <c r="FK136" s="8"/>
      <c r="FM136" s="9"/>
      <c r="FP136" s="9"/>
      <c r="FS136" s="9"/>
      <c r="FY136" s="9"/>
      <c r="GC136" s="8"/>
      <c r="GD136" s="8"/>
      <c r="GE136" s="9"/>
      <c r="GF136" s="8"/>
      <c r="GG136" s="8"/>
      <c r="GH136" s="9"/>
      <c r="GK136" s="9"/>
      <c r="GS136" s="8"/>
      <c r="GT136" s="8"/>
      <c r="HC136" s="9"/>
    </row>
    <row r="137" ht="15.75" customHeight="1">
      <c r="A137" s="1"/>
      <c r="D137" s="9"/>
      <c r="G137" s="9"/>
      <c r="J137" s="9"/>
      <c r="M137" s="9"/>
      <c r="P137" s="9"/>
      <c r="V137" s="9"/>
      <c r="Y137" s="9"/>
      <c r="AB137" s="9"/>
      <c r="AE137" s="9"/>
      <c r="AH137" s="9"/>
      <c r="AI137" s="10"/>
      <c r="AK137" s="9"/>
      <c r="AO137" s="23"/>
      <c r="AP137" s="23"/>
      <c r="AX137" s="24"/>
      <c r="AY137" s="24"/>
      <c r="BA137" s="8"/>
      <c r="BB137" s="8"/>
      <c r="BH137" s="23"/>
      <c r="BJ137" s="23"/>
      <c r="BK137" s="23"/>
      <c r="BM137" s="10"/>
      <c r="BN137" s="10"/>
      <c r="BP137" s="8"/>
      <c r="BQ137" s="8"/>
      <c r="BV137" s="23"/>
      <c r="BW137" s="23"/>
      <c r="BY137" s="8"/>
      <c r="BZ137" s="8"/>
      <c r="CA137" s="9"/>
      <c r="CB137" s="23"/>
      <c r="CC137" s="23"/>
      <c r="CD137" s="9"/>
      <c r="CG137" s="9"/>
      <c r="CJ137" s="9"/>
      <c r="CM137" s="9"/>
      <c r="CP137" s="9"/>
      <c r="CS137" s="9"/>
      <c r="CV137" s="9"/>
      <c r="CY137" s="9"/>
      <c r="DB137" s="9"/>
      <c r="DE137" s="9"/>
      <c r="DH137" s="9"/>
      <c r="DK137" s="9"/>
      <c r="DN137" s="9"/>
      <c r="DQ137" s="9"/>
      <c r="DT137" s="9"/>
      <c r="DW137" s="9"/>
      <c r="DX137" s="8"/>
      <c r="DY137" s="8"/>
      <c r="DZ137" s="9"/>
      <c r="EA137" s="8"/>
      <c r="EC137" s="9"/>
      <c r="EF137" s="9"/>
      <c r="EI137" s="9"/>
      <c r="EL137" s="9"/>
      <c r="EO137" s="9"/>
      <c r="ER137" s="9"/>
      <c r="EU137" s="9"/>
      <c r="EX137" s="9"/>
      <c r="FA137" s="9"/>
      <c r="FD137" s="9"/>
      <c r="FG137" s="9"/>
      <c r="FJ137" s="9"/>
      <c r="FK137" s="8"/>
      <c r="FM137" s="9"/>
      <c r="FP137" s="9"/>
      <c r="FS137" s="9"/>
      <c r="FY137" s="9"/>
      <c r="GC137" s="8"/>
      <c r="GD137" s="8"/>
      <c r="GE137" s="9"/>
      <c r="GF137" s="8"/>
      <c r="GG137" s="8"/>
      <c r="GH137" s="9"/>
      <c r="GK137" s="9"/>
      <c r="GS137" s="8"/>
      <c r="GT137" s="8"/>
      <c r="HC137" s="9"/>
    </row>
    <row r="138" ht="15.75" customHeight="1">
      <c r="A138" s="1"/>
      <c r="D138" s="9"/>
      <c r="G138" s="9"/>
      <c r="J138" s="9"/>
      <c r="M138" s="9"/>
      <c r="P138" s="9"/>
      <c r="V138" s="9"/>
      <c r="Y138" s="9"/>
      <c r="AB138" s="9"/>
      <c r="AE138" s="9"/>
      <c r="AH138" s="9"/>
      <c r="AI138" s="10"/>
      <c r="AK138" s="9"/>
      <c r="AO138" s="23"/>
      <c r="AP138" s="23"/>
      <c r="AX138" s="24"/>
      <c r="AY138" s="24"/>
      <c r="BA138" s="8"/>
      <c r="BB138" s="8"/>
      <c r="BH138" s="23"/>
      <c r="BJ138" s="23"/>
      <c r="BK138" s="23"/>
      <c r="BM138" s="10"/>
      <c r="BN138" s="10"/>
      <c r="BP138" s="8"/>
      <c r="BQ138" s="8"/>
      <c r="BV138" s="23"/>
      <c r="BW138" s="23"/>
      <c r="BY138" s="8"/>
      <c r="BZ138" s="8"/>
      <c r="CA138" s="9"/>
      <c r="CB138" s="23"/>
      <c r="CC138" s="23"/>
      <c r="CD138" s="9"/>
      <c r="CG138" s="9"/>
      <c r="CJ138" s="9"/>
      <c r="CM138" s="9"/>
      <c r="CP138" s="9"/>
      <c r="CS138" s="9"/>
      <c r="CV138" s="9"/>
      <c r="CY138" s="9"/>
      <c r="DB138" s="9"/>
      <c r="DE138" s="9"/>
      <c r="DH138" s="9"/>
      <c r="DK138" s="9"/>
      <c r="DN138" s="9"/>
      <c r="DQ138" s="9"/>
      <c r="DT138" s="9"/>
      <c r="DW138" s="9"/>
      <c r="DX138" s="8"/>
      <c r="DY138" s="8"/>
      <c r="DZ138" s="9"/>
      <c r="EA138" s="8"/>
      <c r="EC138" s="9"/>
      <c r="EF138" s="9"/>
      <c r="EI138" s="9"/>
      <c r="EL138" s="9"/>
      <c r="EO138" s="9"/>
      <c r="ER138" s="9"/>
      <c r="EU138" s="9"/>
      <c r="EX138" s="9"/>
      <c r="FA138" s="9"/>
      <c r="FD138" s="9"/>
      <c r="FG138" s="9"/>
      <c r="FJ138" s="9"/>
      <c r="FK138" s="8"/>
      <c r="FM138" s="9"/>
      <c r="FP138" s="9"/>
      <c r="FS138" s="9"/>
      <c r="FY138" s="9"/>
      <c r="GC138" s="8"/>
      <c r="GD138" s="8"/>
      <c r="GE138" s="9"/>
      <c r="GF138" s="8"/>
      <c r="GG138" s="8"/>
      <c r="GH138" s="9"/>
      <c r="GK138" s="9"/>
      <c r="GS138" s="8"/>
      <c r="GT138" s="8"/>
      <c r="HC138" s="9"/>
    </row>
    <row r="139" ht="15.75" customHeight="1">
      <c r="A139" s="1"/>
      <c r="D139" s="9"/>
      <c r="G139" s="9"/>
      <c r="J139" s="9"/>
      <c r="M139" s="9"/>
      <c r="P139" s="9"/>
      <c r="V139" s="9"/>
      <c r="Y139" s="9"/>
      <c r="AB139" s="9"/>
      <c r="AE139" s="9"/>
      <c r="AH139" s="9"/>
      <c r="AI139" s="10"/>
      <c r="AK139" s="9"/>
      <c r="AO139" s="23"/>
      <c r="AP139" s="23"/>
      <c r="AX139" s="24"/>
      <c r="AY139" s="24"/>
      <c r="BA139" s="8"/>
      <c r="BB139" s="8"/>
      <c r="BH139" s="23"/>
      <c r="BJ139" s="23"/>
      <c r="BK139" s="23"/>
      <c r="BM139" s="10"/>
      <c r="BN139" s="10"/>
      <c r="BP139" s="8"/>
      <c r="BQ139" s="8"/>
      <c r="BV139" s="23"/>
      <c r="BW139" s="23"/>
      <c r="BY139" s="8"/>
      <c r="BZ139" s="8"/>
      <c r="CA139" s="9"/>
      <c r="CB139" s="23"/>
      <c r="CC139" s="23"/>
      <c r="CD139" s="9"/>
      <c r="CG139" s="9"/>
      <c r="CJ139" s="9"/>
      <c r="CM139" s="9"/>
      <c r="CP139" s="9"/>
      <c r="CS139" s="9"/>
      <c r="CV139" s="9"/>
      <c r="CY139" s="9"/>
      <c r="DB139" s="9"/>
      <c r="DE139" s="9"/>
      <c r="DH139" s="9"/>
      <c r="DK139" s="9"/>
      <c r="DN139" s="9"/>
      <c r="DQ139" s="9"/>
      <c r="DT139" s="9"/>
      <c r="DW139" s="9"/>
      <c r="DX139" s="8"/>
      <c r="DY139" s="8"/>
      <c r="DZ139" s="9"/>
      <c r="EA139" s="8"/>
      <c r="EC139" s="9"/>
      <c r="EF139" s="9"/>
      <c r="EI139" s="9"/>
      <c r="EL139" s="9"/>
      <c r="EO139" s="9"/>
      <c r="ER139" s="9"/>
      <c r="EU139" s="9"/>
      <c r="EX139" s="9"/>
      <c r="FA139" s="9"/>
      <c r="FD139" s="9"/>
      <c r="FG139" s="9"/>
      <c r="FJ139" s="9"/>
      <c r="FK139" s="8"/>
      <c r="FM139" s="9"/>
      <c r="FP139" s="9"/>
      <c r="FS139" s="9"/>
      <c r="FY139" s="9"/>
      <c r="GC139" s="8"/>
      <c r="GD139" s="8"/>
      <c r="GE139" s="9"/>
      <c r="GF139" s="8"/>
      <c r="GG139" s="8"/>
      <c r="GH139" s="9"/>
      <c r="GK139" s="9"/>
      <c r="GS139" s="8"/>
      <c r="GT139" s="8"/>
      <c r="HC139" s="9"/>
    </row>
    <row r="140" ht="15.75" customHeight="1">
      <c r="A140" s="1"/>
      <c r="D140" s="9"/>
      <c r="G140" s="9"/>
      <c r="J140" s="9"/>
      <c r="M140" s="9"/>
      <c r="P140" s="9"/>
      <c r="V140" s="9"/>
      <c r="Y140" s="9"/>
      <c r="AB140" s="9"/>
      <c r="AE140" s="9"/>
      <c r="AH140" s="9"/>
      <c r="AI140" s="10"/>
      <c r="AK140" s="9"/>
      <c r="AO140" s="23"/>
      <c r="AP140" s="23"/>
      <c r="AX140" s="24"/>
      <c r="AY140" s="24"/>
      <c r="BA140" s="8"/>
      <c r="BB140" s="8"/>
      <c r="BH140" s="23"/>
      <c r="BJ140" s="23"/>
      <c r="BK140" s="23"/>
      <c r="BM140" s="10"/>
      <c r="BN140" s="10"/>
      <c r="BP140" s="8"/>
      <c r="BQ140" s="8"/>
      <c r="BV140" s="23"/>
      <c r="BW140" s="23"/>
      <c r="BY140" s="8"/>
      <c r="BZ140" s="8"/>
      <c r="CA140" s="9"/>
      <c r="CB140" s="23"/>
      <c r="CC140" s="23"/>
      <c r="CD140" s="9"/>
      <c r="CG140" s="9"/>
      <c r="CJ140" s="9"/>
      <c r="CM140" s="9"/>
      <c r="CP140" s="9"/>
      <c r="CS140" s="9"/>
      <c r="CV140" s="9"/>
      <c r="CY140" s="9"/>
      <c r="DB140" s="9"/>
      <c r="DE140" s="9"/>
      <c r="DH140" s="9"/>
      <c r="DK140" s="9"/>
      <c r="DN140" s="9"/>
      <c r="DQ140" s="9"/>
      <c r="DT140" s="9"/>
      <c r="DW140" s="9"/>
      <c r="DX140" s="8"/>
      <c r="DY140" s="8"/>
      <c r="DZ140" s="9"/>
      <c r="EA140" s="8"/>
      <c r="EC140" s="9"/>
      <c r="EF140" s="9"/>
      <c r="EI140" s="9"/>
      <c r="EL140" s="9"/>
      <c r="EO140" s="9"/>
      <c r="ER140" s="9"/>
      <c r="EU140" s="9"/>
      <c r="EX140" s="9"/>
      <c r="FA140" s="9"/>
      <c r="FD140" s="9"/>
      <c r="FG140" s="9"/>
      <c r="FJ140" s="9"/>
      <c r="FK140" s="8"/>
      <c r="FM140" s="9"/>
      <c r="FP140" s="9"/>
      <c r="FS140" s="9"/>
      <c r="FY140" s="9"/>
      <c r="GC140" s="8"/>
      <c r="GD140" s="8"/>
      <c r="GE140" s="9"/>
      <c r="GF140" s="8"/>
      <c r="GG140" s="8"/>
      <c r="GH140" s="9"/>
      <c r="GK140" s="9"/>
      <c r="GS140" s="8"/>
      <c r="GT140" s="8"/>
      <c r="HC140" s="9"/>
    </row>
    <row r="141" ht="15.75" customHeight="1">
      <c r="A141" s="1"/>
      <c r="D141" s="9"/>
      <c r="G141" s="9"/>
      <c r="J141" s="9"/>
      <c r="M141" s="9"/>
      <c r="P141" s="9"/>
      <c r="V141" s="9"/>
      <c r="Y141" s="9"/>
      <c r="AB141" s="9"/>
      <c r="AE141" s="9"/>
      <c r="AH141" s="9"/>
      <c r="AI141" s="10"/>
      <c r="AK141" s="9"/>
      <c r="AO141" s="23"/>
      <c r="AP141" s="23"/>
      <c r="AX141" s="24"/>
      <c r="AY141" s="24"/>
      <c r="BA141" s="8"/>
      <c r="BB141" s="8"/>
      <c r="BH141" s="23"/>
      <c r="BJ141" s="23"/>
      <c r="BK141" s="23"/>
      <c r="BM141" s="10"/>
      <c r="BN141" s="10"/>
      <c r="BP141" s="8"/>
      <c r="BQ141" s="8"/>
      <c r="BV141" s="23"/>
      <c r="BW141" s="23"/>
      <c r="BY141" s="8"/>
      <c r="BZ141" s="8"/>
      <c r="CA141" s="9"/>
      <c r="CB141" s="23"/>
      <c r="CC141" s="23"/>
      <c r="CD141" s="9"/>
      <c r="CG141" s="9"/>
      <c r="CJ141" s="9"/>
      <c r="CM141" s="9"/>
      <c r="CP141" s="9"/>
      <c r="CS141" s="9"/>
      <c r="CV141" s="9"/>
      <c r="CY141" s="9"/>
      <c r="DB141" s="9"/>
      <c r="DE141" s="9"/>
      <c r="DH141" s="9"/>
      <c r="DK141" s="9"/>
      <c r="DN141" s="9"/>
      <c r="DQ141" s="9"/>
      <c r="DT141" s="9"/>
      <c r="DW141" s="9"/>
      <c r="DX141" s="8"/>
      <c r="DY141" s="8"/>
      <c r="DZ141" s="9"/>
      <c r="EA141" s="8"/>
      <c r="EC141" s="9"/>
      <c r="EF141" s="9"/>
      <c r="EI141" s="9"/>
      <c r="EL141" s="9"/>
      <c r="EO141" s="9"/>
      <c r="ER141" s="9"/>
      <c r="EU141" s="9"/>
      <c r="EX141" s="9"/>
      <c r="FA141" s="9"/>
      <c r="FD141" s="9"/>
      <c r="FG141" s="9"/>
      <c r="FJ141" s="9"/>
      <c r="FK141" s="8"/>
      <c r="FM141" s="9"/>
      <c r="FP141" s="9"/>
      <c r="FS141" s="9"/>
      <c r="FY141" s="9"/>
      <c r="GC141" s="8"/>
      <c r="GD141" s="8"/>
      <c r="GE141" s="9"/>
      <c r="GF141" s="8"/>
      <c r="GG141" s="8"/>
      <c r="GH141" s="9"/>
      <c r="GK141" s="9"/>
      <c r="GS141" s="8"/>
      <c r="GT141" s="8"/>
      <c r="HC141" s="9"/>
    </row>
    <row r="142" ht="15.75" customHeight="1">
      <c r="A142" s="1"/>
      <c r="D142" s="9"/>
      <c r="G142" s="9"/>
      <c r="J142" s="9"/>
      <c r="M142" s="9"/>
      <c r="P142" s="9"/>
      <c r="V142" s="9"/>
      <c r="Y142" s="9"/>
      <c r="AB142" s="9"/>
      <c r="AE142" s="9"/>
      <c r="AH142" s="9"/>
      <c r="AI142" s="10"/>
      <c r="AK142" s="9"/>
      <c r="AO142" s="23"/>
      <c r="AP142" s="23"/>
      <c r="AX142" s="24"/>
      <c r="AY142" s="24"/>
      <c r="BA142" s="8"/>
      <c r="BB142" s="8"/>
      <c r="BH142" s="23"/>
      <c r="BJ142" s="23"/>
      <c r="BK142" s="23"/>
      <c r="BM142" s="10"/>
      <c r="BN142" s="10"/>
      <c r="BP142" s="8"/>
      <c r="BQ142" s="8"/>
      <c r="BV142" s="23"/>
      <c r="BW142" s="23"/>
      <c r="BY142" s="8"/>
      <c r="BZ142" s="8"/>
      <c r="CA142" s="9"/>
      <c r="CB142" s="23"/>
      <c r="CC142" s="23"/>
      <c r="CD142" s="9"/>
      <c r="CG142" s="9"/>
      <c r="CJ142" s="9"/>
      <c r="CM142" s="9"/>
      <c r="CP142" s="9"/>
      <c r="CS142" s="9"/>
      <c r="CV142" s="9"/>
      <c r="CY142" s="9"/>
      <c r="DB142" s="9"/>
      <c r="DE142" s="9"/>
      <c r="DH142" s="9"/>
      <c r="DK142" s="9"/>
      <c r="DN142" s="9"/>
      <c r="DQ142" s="9"/>
      <c r="DT142" s="9"/>
      <c r="DW142" s="9"/>
      <c r="DX142" s="8"/>
      <c r="DY142" s="8"/>
      <c r="DZ142" s="9"/>
      <c r="EA142" s="8"/>
      <c r="EC142" s="9"/>
      <c r="EF142" s="9"/>
      <c r="EI142" s="9"/>
      <c r="EL142" s="9"/>
      <c r="EO142" s="9"/>
      <c r="ER142" s="9"/>
      <c r="EU142" s="9"/>
      <c r="EX142" s="9"/>
      <c r="FA142" s="9"/>
      <c r="FD142" s="9"/>
      <c r="FG142" s="9"/>
      <c r="FJ142" s="9"/>
      <c r="FK142" s="8"/>
      <c r="FM142" s="9"/>
      <c r="FP142" s="9"/>
      <c r="FS142" s="9"/>
      <c r="FY142" s="9"/>
      <c r="GC142" s="8"/>
      <c r="GD142" s="8"/>
      <c r="GE142" s="9"/>
      <c r="GF142" s="8"/>
      <c r="GG142" s="8"/>
      <c r="GH142" s="9"/>
      <c r="GK142" s="9"/>
      <c r="GS142" s="8"/>
      <c r="GT142" s="8"/>
      <c r="HC142" s="9"/>
    </row>
    <row r="143" ht="15.75" customHeight="1">
      <c r="A143" s="1"/>
      <c r="D143" s="9"/>
      <c r="G143" s="9"/>
      <c r="J143" s="9"/>
      <c r="M143" s="9"/>
      <c r="P143" s="9"/>
      <c r="V143" s="9"/>
      <c r="Y143" s="9"/>
      <c r="AB143" s="9"/>
      <c r="AE143" s="9"/>
      <c r="AH143" s="9"/>
      <c r="AI143" s="10"/>
      <c r="AK143" s="9"/>
      <c r="AO143" s="23"/>
      <c r="AP143" s="23"/>
      <c r="AX143" s="24"/>
      <c r="AY143" s="24"/>
      <c r="BA143" s="8"/>
      <c r="BB143" s="8"/>
      <c r="BH143" s="23"/>
      <c r="BJ143" s="23"/>
      <c r="BK143" s="23"/>
      <c r="BM143" s="10"/>
      <c r="BN143" s="10"/>
      <c r="BP143" s="8"/>
      <c r="BQ143" s="8"/>
      <c r="BV143" s="23"/>
      <c r="BW143" s="23"/>
      <c r="BY143" s="8"/>
      <c r="BZ143" s="8"/>
      <c r="CA143" s="9"/>
      <c r="CB143" s="23"/>
      <c r="CC143" s="23"/>
      <c r="CD143" s="9"/>
      <c r="CG143" s="9"/>
      <c r="CJ143" s="9"/>
      <c r="CM143" s="9"/>
      <c r="CP143" s="9"/>
      <c r="CS143" s="9"/>
      <c r="CV143" s="9"/>
      <c r="CY143" s="9"/>
      <c r="DB143" s="9"/>
      <c r="DE143" s="9"/>
      <c r="DH143" s="9"/>
      <c r="DK143" s="9"/>
      <c r="DN143" s="9"/>
      <c r="DQ143" s="9"/>
      <c r="DT143" s="9"/>
      <c r="DW143" s="9"/>
      <c r="DX143" s="8"/>
      <c r="DY143" s="8"/>
      <c r="DZ143" s="9"/>
      <c r="EA143" s="8"/>
      <c r="EC143" s="9"/>
      <c r="EF143" s="9"/>
      <c r="EI143" s="9"/>
      <c r="EL143" s="9"/>
      <c r="EO143" s="9"/>
      <c r="ER143" s="9"/>
      <c r="EU143" s="9"/>
      <c r="EX143" s="9"/>
      <c r="FA143" s="9"/>
      <c r="FD143" s="9"/>
      <c r="FG143" s="9"/>
      <c r="FJ143" s="9"/>
      <c r="FK143" s="8"/>
      <c r="FM143" s="9"/>
      <c r="FP143" s="9"/>
      <c r="FS143" s="9"/>
      <c r="FY143" s="9"/>
      <c r="GC143" s="8"/>
      <c r="GD143" s="8"/>
      <c r="GE143" s="9"/>
      <c r="GF143" s="8"/>
      <c r="GG143" s="8"/>
      <c r="GH143" s="9"/>
      <c r="GK143" s="9"/>
      <c r="GS143" s="8"/>
      <c r="GT143" s="8"/>
      <c r="HC143" s="9"/>
    </row>
    <row r="144" ht="15.75" customHeight="1">
      <c r="A144" s="1"/>
      <c r="D144" s="9"/>
      <c r="G144" s="9"/>
      <c r="J144" s="9"/>
      <c r="M144" s="9"/>
      <c r="P144" s="9"/>
      <c r="V144" s="9"/>
      <c r="Y144" s="9"/>
      <c r="AB144" s="9"/>
      <c r="AE144" s="9"/>
      <c r="AH144" s="9"/>
      <c r="AI144" s="10"/>
      <c r="AK144" s="9"/>
      <c r="AO144" s="23"/>
      <c r="AP144" s="23"/>
      <c r="AX144" s="24"/>
      <c r="AY144" s="24"/>
      <c r="BA144" s="8"/>
      <c r="BB144" s="8"/>
      <c r="BH144" s="23"/>
      <c r="BJ144" s="23"/>
      <c r="BK144" s="23"/>
      <c r="BM144" s="10"/>
      <c r="BN144" s="10"/>
      <c r="BP144" s="8"/>
      <c r="BQ144" s="8"/>
      <c r="BV144" s="23"/>
      <c r="BW144" s="23"/>
      <c r="BY144" s="8"/>
      <c r="BZ144" s="8"/>
      <c r="CA144" s="9"/>
      <c r="CB144" s="23"/>
      <c r="CC144" s="23"/>
      <c r="CD144" s="9"/>
      <c r="CG144" s="9"/>
      <c r="CJ144" s="9"/>
      <c r="CM144" s="9"/>
      <c r="CP144" s="9"/>
      <c r="CS144" s="9"/>
      <c r="CV144" s="9"/>
      <c r="CY144" s="9"/>
      <c r="DB144" s="9"/>
      <c r="DE144" s="9"/>
      <c r="DH144" s="9"/>
      <c r="DK144" s="9"/>
      <c r="DN144" s="9"/>
      <c r="DQ144" s="9"/>
      <c r="DT144" s="9"/>
      <c r="DW144" s="9"/>
      <c r="DX144" s="8"/>
      <c r="DY144" s="8"/>
      <c r="DZ144" s="9"/>
      <c r="EA144" s="8"/>
      <c r="EC144" s="9"/>
      <c r="EF144" s="9"/>
      <c r="EI144" s="9"/>
      <c r="EL144" s="9"/>
      <c r="EO144" s="9"/>
      <c r="ER144" s="9"/>
      <c r="EU144" s="9"/>
      <c r="EX144" s="9"/>
      <c r="FA144" s="9"/>
      <c r="FD144" s="9"/>
      <c r="FG144" s="9"/>
      <c r="FJ144" s="9"/>
      <c r="FK144" s="8"/>
      <c r="FM144" s="9"/>
      <c r="FP144" s="9"/>
      <c r="FS144" s="9"/>
      <c r="FY144" s="9"/>
      <c r="GC144" s="8"/>
      <c r="GD144" s="8"/>
      <c r="GE144" s="9"/>
      <c r="GF144" s="8"/>
      <c r="GG144" s="8"/>
      <c r="GH144" s="9"/>
      <c r="GK144" s="9"/>
      <c r="GS144" s="8"/>
      <c r="GT144" s="8"/>
      <c r="HC144" s="9"/>
    </row>
    <row r="145" ht="15.75" customHeight="1">
      <c r="A145" s="1"/>
      <c r="D145" s="9"/>
      <c r="G145" s="9"/>
      <c r="J145" s="9"/>
      <c r="M145" s="9"/>
      <c r="P145" s="9"/>
      <c r="V145" s="9"/>
      <c r="Y145" s="9"/>
      <c r="AB145" s="9"/>
      <c r="AE145" s="9"/>
      <c r="AH145" s="9"/>
      <c r="AI145" s="10"/>
      <c r="AK145" s="9"/>
      <c r="AO145" s="23"/>
      <c r="AP145" s="23"/>
      <c r="AX145" s="24"/>
      <c r="AY145" s="24"/>
      <c r="BA145" s="8"/>
      <c r="BB145" s="8"/>
      <c r="BH145" s="23"/>
      <c r="BJ145" s="23"/>
      <c r="BK145" s="23"/>
      <c r="BM145" s="10"/>
      <c r="BN145" s="10"/>
      <c r="BP145" s="8"/>
      <c r="BQ145" s="8"/>
      <c r="BV145" s="23"/>
      <c r="BW145" s="23"/>
      <c r="BY145" s="8"/>
      <c r="BZ145" s="8"/>
      <c r="CA145" s="9"/>
      <c r="CB145" s="23"/>
      <c r="CC145" s="23"/>
      <c r="CD145" s="9"/>
      <c r="CG145" s="9"/>
      <c r="CJ145" s="9"/>
      <c r="CM145" s="9"/>
      <c r="CP145" s="9"/>
      <c r="CS145" s="9"/>
      <c r="CV145" s="9"/>
      <c r="CY145" s="9"/>
      <c r="DB145" s="9"/>
      <c r="DE145" s="9"/>
      <c r="DH145" s="9"/>
      <c r="DK145" s="9"/>
      <c r="DN145" s="9"/>
      <c r="DQ145" s="9"/>
      <c r="DT145" s="9"/>
      <c r="DW145" s="9"/>
      <c r="DX145" s="8"/>
      <c r="DY145" s="8"/>
      <c r="DZ145" s="9"/>
      <c r="EA145" s="8"/>
      <c r="EC145" s="9"/>
      <c r="EF145" s="9"/>
      <c r="EI145" s="9"/>
      <c r="EL145" s="9"/>
      <c r="EO145" s="9"/>
      <c r="ER145" s="9"/>
      <c r="EU145" s="9"/>
      <c r="EX145" s="9"/>
      <c r="FA145" s="9"/>
      <c r="FD145" s="9"/>
      <c r="FG145" s="9"/>
      <c r="FJ145" s="9"/>
      <c r="FK145" s="8"/>
      <c r="FM145" s="9"/>
      <c r="FP145" s="9"/>
      <c r="FS145" s="9"/>
      <c r="FY145" s="9"/>
      <c r="GC145" s="8"/>
      <c r="GD145" s="8"/>
      <c r="GE145" s="9"/>
      <c r="GF145" s="8"/>
      <c r="GG145" s="8"/>
      <c r="GH145" s="9"/>
      <c r="GK145" s="9"/>
      <c r="GS145" s="8"/>
      <c r="GT145" s="8"/>
      <c r="HC145" s="9"/>
    </row>
    <row r="146" ht="15.75" customHeight="1">
      <c r="A146" s="1"/>
      <c r="D146" s="9"/>
      <c r="G146" s="9"/>
      <c r="J146" s="9"/>
      <c r="M146" s="9"/>
      <c r="P146" s="9"/>
      <c r="V146" s="9"/>
      <c r="Y146" s="9"/>
      <c r="AB146" s="9"/>
      <c r="AE146" s="9"/>
      <c r="AH146" s="9"/>
      <c r="AI146" s="10"/>
      <c r="AK146" s="9"/>
      <c r="AO146" s="23"/>
      <c r="AP146" s="23"/>
      <c r="AX146" s="24"/>
      <c r="AY146" s="24"/>
      <c r="BA146" s="8"/>
      <c r="BB146" s="8"/>
      <c r="BH146" s="23"/>
      <c r="BJ146" s="23"/>
      <c r="BK146" s="23"/>
      <c r="BM146" s="10"/>
      <c r="BN146" s="10"/>
      <c r="BP146" s="8"/>
      <c r="BQ146" s="8"/>
      <c r="BV146" s="23"/>
      <c r="BW146" s="23"/>
      <c r="BY146" s="8"/>
      <c r="BZ146" s="8"/>
      <c r="CA146" s="9"/>
      <c r="CB146" s="23"/>
      <c r="CC146" s="23"/>
      <c r="CD146" s="9"/>
      <c r="CG146" s="9"/>
      <c r="CJ146" s="9"/>
      <c r="CM146" s="9"/>
      <c r="CP146" s="9"/>
      <c r="CS146" s="9"/>
      <c r="CV146" s="9"/>
      <c r="CY146" s="9"/>
      <c r="DB146" s="9"/>
      <c r="DE146" s="9"/>
      <c r="DH146" s="9"/>
      <c r="DK146" s="9"/>
      <c r="DN146" s="9"/>
      <c r="DQ146" s="9"/>
      <c r="DT146" s="9"/>
      <c r="DW146" s="9"/>
      <c r="DX146" s="8"/>
      <c r="DY146" s="8"/>
      <c r="DZ146" s="9"/>
      <c r="EA146" s="8"/>
      <c r="EC146" s="9"/>
      <c r="EF146" s="9"/>
      <c r="EI146" s="9"/>
      <c r="EL146" s="9"/>
      <c r="EO146" s="9"/>
      <c r="ER146" s="9"/>
      <c r="EU146" s="9"/>
      <c r="EX146" s="9"/>
      <c r="FA146" s="9"/>
      <c r="FD146" s="9"/>
      <c r="FG146" s="9"/>
      <c r="FJ146" s="9"/>
      <c r="FK146" s="8"/>
      <c r="FM146" s="9"/>
      <c r="FP146" s="9"/>
      <c r="FS146" s="9"/>
      <c r="FY146" s="9"/>
      <c r="GC146" s="8"/>
      <c r="GD146" s="8"/>
      <c r="GE146" s="9"/>
      <c r="GF146" s="8"/>
      <c r="GG146" s="8"/>
      <c r="GH146" s="9"/>
      <c r="GK146" s="9"/>
      <c r="GS146" s="8"/>
      <c r="GT146" s="8"/>
      <c r="HC146" s="9"/>
    </row>
    <row r="147" ht="15.75" customHeight="1">
      <c r="A147" s="1"/>
      <c r="D147" s="9"/>
      <c r="G147" s="9"/>
      <c r="J147" s="9"/>
      <c r="M147" s="9"/>
      <c r="P147" s="9"/>
      <c r="V147" s="9"/>
      <c r="Y147" s="9"/>
      <c r="AB147" s="9"/>
      <c r="AE147" s="9"/>
      <c r="AH147" s="9"/>
      <c r="AI147" s="10"/>
      <c r="AK147" s="9"/>
      <c r="AO147" s="23"/>
      <c r="AP147" s="23"/>
      <c r="AX147" s="24"/>
      <c r="AY147" s="24"/>
      <c r="BA147" s="8"/>
      <c r="BB147" s="8"/>
      <c r="BH147" s="23"/>
      <c r="BJ147" s="23"/>
      <c r="BK147" s="23"/>
      <c r="BM147" s="10"/>
      <c r="BN147" s="10"/>
      <c r="BP147" s="8"/>
      <c r="BQ147" s="8"/>
      <c r="BV147" s="23"/>
      <c r="BW147" s="23"/>
      <c r="BY147" s="8"/>
      <c r="BZ147" s="8"/>
      <c r="CA147" s="9"/>
      <c r="CB147" s="23"/>
      <c r="CC147" s="23"/>
      <c r="CD147" s="9"/>
      <c r="CG147" s="9"/>
      <c r="CJ147" s="9"/>
      <c r="CM147" s="9"/>
      <c r="CP147" s="9"/>
      <c r="CS147" s="9"/>
      <c r="CV147" s="9"/>
      <c r="CY147" s="9"/>
      <c r="DB147" s="9"/>
      <c r="DE147" s="9"/>
      <c r="DH147" s="9"/>
      <c r="DK147" s="9"/>
      <c r="DN147" s="9"/>
      <c r="DQ147" s="9"/>
      <c r="DT147" s="9"/>
      <c r="DW147" s="9"/>
      <c r="DX147" s="8"/>
      <c r="DY147" s="8"/>
      <c r="DZ147" s="9"/>
      <c r="EA147" s="8"/>
      <c r="EC147" s="9"/>
      <c r="EF147" s="9"/>
      <c r="EI147" s="9"/>
      <c r="EL147" s="9"/>
      <c r="EO147" s="9"/>
      <c r="ER147" s="9"/>
      <c r="EU147" s="9"/>
      <c r="EX147" s="9"/>
      <c r="FA147" s="9"/>
      <c r="FD147" s="9"/>
      <c r="FG147" s="9"/>
      <c r="FJ147" s="9"/>
      <c r="FK147" s="8"/>
      <c r="FM147" s="9"/>
      <c r="FP147" s="9"/>
      <c r="FS147" s="9"/>
      <c r="FY147" s="9"/>
      <c r="GC147" s="8"/>
      <c r="GD147" s="8"/>
      <c r="GE147" s="9"/>
      <c r="GF147" s="8"/>
      <c r="GG147" s="8"/>
      <c r="GH147" s="9"/>
      <c r="GK147" s="9"/>
      <c r="GS147" s="8"/>
      <c r="GT147" s="8"/>
      <c r="HC147" s="9"/>
    </row>
    <row r="148" ht="15.75" customHeight="1">
      <c r="A148" s="1"/>
      <c r="D148" s="9"/>
      <c r="G148" s="9"/>
      <c r="J148" s="9"/>
      <c r="M148" s="9"/>
      <c r="P148" s="9"/>
      <c r="V148" s="9"/>
      <c r="Y148" s="9"/>
      <c r="AB148" s="9"/>
      <c r="AE148" s="9"/>
      <c r="AH148" s="9"/>
      <c r="AI148" s="10"/>
      <c r="AK148" s="9"/>
      <c r="AO148" s="23"/>
      <c r="AP148" s="23"/>
      <c r="AX148" s="24"/>
      <c r="AY148" s="24"/>
      <c r="BA148" s="8"/>
      <c r="BB148" s="8"/>
      <c r="BH148" s="23"/>
      <c r="BJ148" s="23"/>
      <c r="BK148" s="23"/>
      <c r="BM148" s="10"/>
      <c r="BN148" s="10"/>
      <c r="BP148" s="8"/>
      <c r="BQ148" s="8"/>
      <c r="BV148" s="23"/>
      <c r="BW148" s="23"/>
      <c r="BY148" s="8"/>
      <c r="BZ148" s="8"/>
      <c r="CA148" s="9"/>
      <c r="CB148" s="23"/>
      <c r="CC148" s="23"/>
      <c r="CD148" s="9"/>
      <c r="CG148" s="9"/>
      <c r="CJ148" s="9"/>
      <c r="CM148" s="9"/>
      <c r="CP148" s="9"/>
      <c r="CS148" s="9"/>
      <c r="CV148" s="9"/>
      <c r="CY148" s="9"/>
      <c r="DB148" s="9"/>
      <c r="DE148" s="9"/>
      <c r="DH148" s="9"/>
      <c r="DK148" s="9"/>
      <c r="DN148" s="9"/>
      <c r="DQ148" s="9"/>
      <c r="DT148" s="9"/>
      <c r="DW148" s="9"/>
      <c r="DX148" s="8"/>
      <c r="DY148" s="8"/>
      <c r="DZ148" s="9"/>
      <c r="EA148" s="8"/>
      <c r="EC148" s="9"/>
      <c r="EF148" s="9"/>
      <c r="EI148" s="9"/>
      <c r="EL148" s="9"/>
      <c r="EO148" s="9"/>
      <c r="ER148" s="9"/>
      <c r="EU148" s="9"/>
      <c r="EX148" s="9"/>
      <c r="FA148" s="9"/>
      <c r="FD148" s="9"/>
      <c r="FG148" s="9"/>
      <c r="FJ148" s="9"/>
      <c r="FK148" s="8"/>
      <c r="FM148" s="9"/>
      <c r="FP148" s="9"/>
      <c r="FS148" s="9"/>
      <c r="FY148" s="9"/>
      <c r="GC148" s="8"/>
      <c r="GD148" s="8"/>
      <c r="GE148" s="9"/>
      <c r="GF148" s="8"/>
      <c r="GG148" s="8"/>
      <c r="GH148" s="9"/>
      <c r="GK148" s="9"/>
      <c r="GS148" s="8"/>
      <c r="GT148" s="8"/>
      <c r="HC148" s="9"/>
    </row>
    <row r="149" ht="15.75" customHeight="1">
      <c r="A149" s="1"/>
      <c r="D149" s="9"/>
      <c r="G149" s="9"/>
      <c r="J149" s="9"/>
      <c r="M149" s="9"/>
      <c r="P149" s="9"/>
      <c r="V149" s="9"/>
      <c r="Y149" s="9"/>
      <c r="AB149" s="9"/>
      <c r="AE149" s="9"/>
      <c r="AH149" s="9"/>
      <c r="AI149" s="10"/>
      <c r="AK149" s="9"/>
      <c r="AO149" s="23"/>
      <c r="AP149" s="23"/>
      <c r="AX149" s="24"/>
      <c r="AY149" s="24"/>
      <c r="BA149" s="8"/>
      <c r="BB149" s="8"/>
      <c r="BH149" s="23"/>
      <c r="BJ149" s="23"/>
      <c r="BK149" s="23"/>
      <c r="BM149" s="10"/>
      <c r="BN149" s="10"/>
      <c r="BP149" s="8"/>
      <c r="BQ149" s="8"/>
      <c r="BV149" s="23"/>
      <c r="BW149" s="23"/>
      <c r="BY149" s="8"/>
      <c r="BZ149" s="8"/>
      <c r="CA149" s="9"/>
      <c r="CB149" s="23"/>
      <c r="CC149" s="23"/>
      <c r="CD149" s="9"/>
      <c r="CG149" s="9"/>
      <c r="CJ149" s="9"/>
      <c r="CM149" s="9"/>
      <c r="CP149" s="9"/>
      <c r="CS149" s="9"/>
      <c r="CV149" s="9"/>
      <c r="CY149" s="9"/>
      <c r="DB149" s="9"/>
      <c r="DE149" s="9"/>
      <c r="DH149" s="9"/>
      <c r="DK149" s="9"/>
      <c r="DN149" s="9"/>
      <c r="DQ149" s="9"/>
      <c r="DT149" s="9"/>
      <c r="DW149" s="9"/>
      <c r="DX149" s="8"/>
      <c r="DY149" s="8"/>
      <c r="DZ149" s="9"/>
      <c r="EA149" s="8"/>
      <c r="EC149" s="9"/>
      <c r="EF149" s="9"/>
      <c r="EI149" s="9"/>
      <c r="EL149" s="9"/>
      <c r="EO149" s="9"/>
      <c r="ER149" s="9"/>
      <c r="EU149" s="9"/>
      <c r="EX149" s="9"/>
      <c r="FA149" s="9"/>
      <c r="FD149" s="9"/>
      <c r="FG149" s="9"/>
      <c r="FJ149" s="9"/>
      <c r="FK149" s="8"/>
      <c r="FM149" s="9"/>
      <c r="FP149" s="9"/>
      <c r="FS149" s="9"/>
      <c r="FY149" s="9"/>
      <c r="GC149" s="8"/>
      <c r="GD149" s="8"/>
      <c r="GE149" s="9"/>
      <c r="GF149" s="8"/>
      <c r="GG149" s="8"/>
      <c r="GH149" s="9"/>
      <c r="GK149" s="9"/>
      <c r="GS149" s="8"/>
      <c r="GT149" s="8"/>
      <c r="HC149" s="9"/>
    </row>
    <row r="150" ht="15.75" customHeight="1">
      <c r="A150" s="1"/>
      <c r="D150" s="9"/>
      <c r="G150" s="9"/>
      <c r="J150" s="9"/>
      <c r="M150" s="9"/>
      <c r="P150" s="9"/>
      <c r="V150" s="9"/>
      <c r="Y150" s="9"/>
      <c r="AB150" s="9"/>
      <c r="AE150" s="9"/>
      <c r="AH150" s="9"/>
      <c r="AI150" s="10"/>
      <c r="AK150" s="9"/>
      <c r="AO150" s="23"/>
      <c r="AP150" s="23"/>
      <c r="AX150" s="24"/>
      <c r="AY150" s="24"/>
      <c r="BA150" s="8"/>
      <c r="BB150" s="8"/>
      <c r="BH150" s="23"/>
      <c r="BJ150" s="23"/>
      <c r="BK150" s="23"/>
      <c r="BM150" s="10"/>
      <c r="BN150" s="10"/>
      <c r="BP150" s="8"/>
      <c r="BQ150" s="8"/>
      <c r="BV150" s="23"/>
      <c r="BW150" s="23"/>
      <c r="BY150" s="8"/>
      <c r="BZ150" s="8"/>
      <c r="CA150" s="9"/>
      <c r="CB150" s="23"/>
      <c r="CC150" s="23"/>
      <c r="CD150" s="9"/>
      <c r="CG150" s="9"/>
      <c r="CJ150" s="9"/>
      <c r="CM150" s="9"/>
      <c r="CP150" s="9"/>
      <c r="CS150" s="9"/>
      <c r="CV150" s="9"/>
      <c r="CY150" s="9"/>
      <c r="DB150" s="9"/>
      <c r="DE150" s="9"/>
      <c r="DH150" s="9"/>
      <c r="DK150" s="9"/>
      <c r="DN150" s="9"/>
      <c r="DQ150" s="9"/>
      <c r="DT150" s="9"/>
      <c r="DW150" s="9"/>
      <c r="DX150" s="8"/>
      <c r="DY150" s="8"/>
      <c r="DZ150" s="9"/>
      <c r="EA150" s="8"/>
      <c r="EC150" s="9"/>
      <c r="EF150" s="9"/>
      <c r="EI150" s="9"/>
      <c r="EL150" s="9"/>
      <c r="EO150" s="9"/>
      <c r="ER150" s="9"/>
      <c r="EU150" s="9"/>
      <c r="EX150" s="9"/>
      <c r="FA150" s="9"/>
      <c r="FD150" s="9"/>
      <c r="FG150" s="9"/>
      <c r="FJ150" s="9"/>
      <c r="FK150" s="8"/>
      <c r="FM150" s="9"/>
      <c r="FP150" s="9"/>
      <c r="FS150" s="9"/>
      <c r="FY150" s="9"/>
      <c r="GC150" s="8"/>
      <c r="GD150" s="8"/>
      <c r="GE150" s="9"/>
      <c r="GF150" s="8"/>
      <c r="GG150" s="8"/>
      <c r="GH150" s="9"/>
      <c r="GK150" s="9"/>
      <c r="GS150" s="8"/>
      <c r="GT150" s="8"/>
      <c r="HC150" s="9"/>
    </row>
    <row r="151" ht="15.75" customHeight="1">
      <c r="A151" s="1"/>
      <c r="D151" s="9"/>
      <c r="G151" s="9"/>
      <c r="J151" s="9"/>
      <c r="M151" s="9"/>
      <c r="P151" s="9"/>
      <c r="V151" s="9"/>
      <c r="Y151" s="9"/>
      <c r="AB151" s="9"/>
      <c r="AE151" s="9"/>
      <c r="AH151" s="9"/>
      <c r="AI151" s="10"/>
      <c r="AK151" s="9"/>
      <c r="AO151" s="23"/>
      <c r="AP151" s="23"/>
      <c r="AX151" s="24"/>
      <c r="AY151" s="24"/>
      <c r="BA151" s="8"/>
      <c r="BB151" s="8"/>
      <c r="BH151" s="23"/>
      <c r="BJ151" s="23"/>
      <c r="BK151" s="23"/>
      <c r="BM151" s="10"/>
      <c r="BN151" s="10"/>
      <c r="BP151" s="8"/>
      <c r="BQ151" s="8"/>
      <c r="BV151" s="23"/>
      <c r="BW151" s="23"/>
      <c r="BY151" s="8"/>
      <c r="BZ151" s="8"/>
      <c r="CA151" s="9"/>
      <c r="CB151" s="23"/>
      <c r="CC151" s="23"/>
      <c r="CD151" s="9"/>
      <c r="CG151" s="9"/>
      <c r="CJ151" s="9"/>
      <c r="CM151" s="9"/>
      <c r="CP151" s="9"/>
      <c r="CS151" s="9"/>
      <c r="CV151" s="9"/>
      <c r="CY151" s="9"/>
      <c r="DB151" s="9"/>
      <c r="DE151" s="9"/>
      <c r="DH151" s="9"/>
      <c r="DK151" s="9"/>
      <c r="DN151" s="9"/>
      <c r="DQ151" s="9"/>
      <c r="DT151" s="9"/>
      <c r="DW151" s="9"/>
      <c r="DX151" s="8"/>
      <c r="DY151" s="8"/>
      <c r="DZ151" s="9"/>
      <c r="EA151" s="8"/>
      <c r="EC151" s="9"/>
      <c r="EF151" s="9"/>
      <c r="EI151" s="9"/>
      <c r="EL151" s="9"/>
      <c r="EO151" s="9"/>
      <c r="ER151" s="9"/>
      <c r="EU151" s="9"/>
      <c r="EX151" s="9"/>
      <c r="FA151" s="9"/>
      <c r="FD151" s="9"/>
      <c r="FG151" s="9"/>
      <c r="FJ151" s="9"/>
      <c r="FK151" s="8"/>
      <c r="FM151" s="9"/>
      <c r="FP151" s="9"/>
      <c r="FS151" s="9"/>
      <c r="FY151" s="9"/>
      <c r="GC151" s="8"/>
      <c r="GD151" s="8"/>
      <c r="GE151" s="9"/>
      <c r="GF151" s="8"/>
      <c r="GG151" s="8"/>
      <c r="GH151" s="9"/>
      <c r="GK151" s="9"/>
      <c r="GS151" s="8"/>
      <c r="GT151" s="8"/>
      <c r="HC151" s="9"/>
    </row>
    <row r="152" ht="15.75" customHeight="1">
      <c r="A152" s="1"/>
      <c r="D152" s="9"/>
      <c r="G152" s="9"/>
      <c r="J152" s="9"/>
      <c r="M152" s="9"/>
      <c r="P152" s="9"/>
      <c r="V152" s="9"/>
      <c r="Y152" s="9"/>
      <c r="AB152" s="9"/>
      <c r="AE152" s="9"/>
      <c r="AH152" s="9"/>
      <c r="AI152" s="10"/>
      <c r="AK152" s="9"/>
      <c r="AO152" s="23"/>
      <c r="AP152" s="23"/>
      <c r="AX152" s="24"/>
      <c r="AY152" s="24"/>
      <c r="BA152" s="8"/>
      <c r="BB152" s="8"/>
      <c r="BH152" s="23"/>
      <c r="BJ152" s="23"/>
      <c r="BK152" s="23"/>
      <c r="BM152" s="10"/>
      <c r="BN152" s="10"/>
      <c r="BP152" s="8"/>
      <c r="BQ152" s="8"/>
      <c r="BV152" s="23"/>
      <c r="BW152" s="23"/>
      <c r="BY152" s="8"/>
      <c r="BZ152" s="8"/>
      <c r="CA152" s="9"/>
      <c r="CB152" s="23"/>
      <c r="CC152" s="23"/>
      <c r="CD152" s="9"/>
      <c r="CG152" s="9"/>
      <c r="CJ152" s="9"/>
      <c r="CM152" s="9"/>
      <c r="CP152" s="9"/>
      <c r="CS152" s="9"/>
      <c r="CV152" s="9"/>
      <c r="CY152" s="9"/>
      <c r="DB152" s="9"/>
      <c r="DE152" s="9"/>
      <c r="DH152" s="9"/>
      <c r="DK152" s="9"/>
      <c r="DN152" s="9"/>
      <c r="DQ152" s="9"/>
      <c r="DT152" s="9"/>
      <c r="DW152" s="9"/>
      <c r="DX152" s="8"/>
      <c r="DY152" s="8"/>
      <c r="DZ152" s="9"/>
      <c r="EA152" s="8"/>
      <c r="EC152" s="9"/>
      <c r="EF152" s="9"/>
      <c r="EI152" s="9"/>
      <c r="EL152" s="9"/>
      <c r="EO152" s="9"/>
      <c r="ER152" s="9"/>
      <c r="EU152" s="9"/>
      <c r="EX152" s="9"/>
      <c r="FA152" s="9"/>
      <c r="FD152" s="9"/>
      <c r="FG152" s="9"/>
      <c r="FJ152" s="9"/>
      <c r="FK152" s="8"/>
      <c r="FM152" s="9"/>
      <c r="FP152" s="9"/>
      <c r="FS152" s="9"/>
      <c r="FY152" s="9"/>
      <c r="GC152" s="8"/>
      <c r="GD152" s="8"/>
      <c r="GE152" s="9"/>
      <c r="GF152" s="8"/>
      <c r="GG152" s="8"/>
      <c r="GH152" s="9"/>
      <c r="GK152" s="9"/>
      <c r="GS152" s="8"/>
      <c r="GT152" s="8"/>
      <c r="HC152" s="9"/>
    </row>
    <row r="153" ht="15.75" customHeight="1">
      <c r="A153" s="1"/>
      <c r="D153" s="9"/>
      <c r="G153" s="9"/>
      <c r="J153" s="9"/>
      <c r="M153" s="9"/>
      <c r="P153" s="9"/>
      <c r="V153" s="9"/>
      <c r="Y153" s="9"/>
      <c r="AB153" s="9"/>
      <c r="AE153" s="9"/>
      <c r="AH153" s="9"/>
      <c r="AI153" s="10"/>
      <c r="AK153" s="9"/>
      <c r="AO153" s="23"/>
      <c r="AP153" s="23"/>
      <c r="AX153" s="24"/>
      <c r="AY153" s="24"/>
      <c r="BA153" s="8"/>
      <c r="BB153" s="8"/>
      <c r="BH153" s="23"/>
      <c r="BJ153" s="23"/>
      <c r="BK153" s="23"/>
      <c r="BM153" s="10"/>
      <c r="BN153" s="10"/>
      <c r="BP153" s="8"/>
      <c r="BQ153" s="8"/>
      <c r="BV153" s="23"/>
      <c r="BW153" s="23"/>
      <c r="BY153" s="8"/>
      <c r="BZ153" s="8"/>
      <c r="CA153" s="9"/>
      <c r="CB153" s="23"/>
      <c r="CC153" s="23"/>
      <c r="CD153" s="9"/>
      <c r="CG153" s="9"/>
      <c r="CJ153" s="9"/>
      <c r="CM153" s="9"/>
      <c r="CP153" s="9"/>
      <c r="CS153" s="9"/>
      <c r="CV153" s="9"/>
      <c r="CY153" s="9"/>
      <c r="DB153" s="9"/>
      <c r="DE153" s="9"/>
      <c r="DH153" s="9"/>
      <c r="DK153" s="9"/>
      <c r="DN153" s="9"/>
      <c r="DQ153" s="9"/>
      <c r="DT153" s="9"/>
      <c r="DW153" s="9"/>
      <c r="DX153" s="8"/>
      <c r="DY153" s="8"/>
      <c r="DZ153" s="9"/>
      <c r="EA153" s="8"/>
      <c r="EC153" s="9"/>
      <c r="EF153" s="9"/>
      <c r="EI153" s="9"/>
      <c r="EL153" s="9"/>
      <c r="EO153" s="9"/>
      <c r="ER153" s="9"/>
      <c r="EU153" s="9"/>
      <c r="EX153" s="9"/>
      <c r="FA153" s="9"/>
      <c r="FD153" s="9"/>
      <c r="FG153" s="9"/>
      <c r="FJ153" s="9"/>
      <c r="FK153" s="8"/>
      <c r="FM153" s="9"/>
      <c r="FP153" s="9"/>
      <c r="FS153" s="9"/>
      <c r="FY153" s="9"/>
      <c r="GC153" s="8"/>
      <c r="GD153" s="8"/>
      <c r="GE153" s="9"/>
      <c r="GF153" s="8"/>
      <c r="GG153" s="8"/>
      <c r="GH153" s="9"/>
      <c r="GK153" s="9"/>
      <c r="GS153" s="8"/>
      <c r="GT153" s="8"/>
      <c r="HC153" s="9"/>
    </row>
    <row r="154" ht="15.75" customHeight="1">
      <c r="A154" s="1"/>
      <c r="D154" s="9"/>
      <c r="G154" s="9"/>
      <c r="J154" s="9"/>
      <c r="M154" s="9"/>
      <c r="P154" s="9"/>
      <c r="V154" s="9"/>
      <c r="Y154" s="9"/>
      <c r="AB154" s="9"/>
      <c r="AE154" s="9"/>
      <c r="AH154" s="9"/>
      <c r="AI154" s="10"/>
      <c r="AK154" s="9"/>
      <c r="AO154" s="23"/>
      <c r="AP154" s="23"/>
      <c r="AX154" s="24"/>
      <c r="AY154" s="24"/>
      <c r="BA154" s="8"/>
      <c r="BB154" s="8"/>
      <c r="BH154" s="23"/>
      <c r="BJ154" s="23"/>
      <c r="BK154" s="23"/>
      <c r="BM154" s="10"/>
      <c r="BN154" s="10"/>
      <c r="BP154" s="8"/>
      <c r="BQ154" s="8"/>
      <c r="BV154" s="23"/>
      <c r="BW154" s="23"/>
      <c r="BY154" s="8"/>
      <c r="BZ154" s="8"/>
      <c r="CA154" s="9"/>
      <c r="CB154" s="23"/>
      <c r="CC154" s="23"/>
      <c r="CD154" s="9"/>
      <c r="CG154" s="9"/>
      <c r="CJ154" s="9"/>
      <c r="CM154" s="9"/>
      <c r="CP154" s="9"/>
      <c r="CS154" s="9"/>
      <c r="CV154" s="9"/>
      <c r="CY154" s="9"/>
      <c r="DB154" s="9"/>
      <c r="DE154" s="9"/>
      <c r="DH154" s="9"/>
      <c r="DK154" s="9"/>
      <c r="DN154" s="9"/>
      <c r="DQ154" s="9"/>
      <c r="DT154" s="9"/>
      <c r="DW154" s="9"/>
      <c r="DX154" s="8"/>
      <c r="DY154" s="8"/>
      <c r="DZ154" s="9"/>
      <c r="EA154" s="8"/>
      <c r="EC154" s="9"/>
      <c r="EF154" s="9"/>
      <c r="EI154" s="9"/>
      <c r="EL154" s="9"/>
      <c r="EO154" s="9"/>
      <c r="ER154" s="9"/>
      <c r="EU154" s="9"/>
      <c r="EX154" s="9"/>
      <c r="FA154" s="9"/>
      <c r="FD154" s="9"/>
      <c r="FG154" s="9"/>
      <c r="FJ154" s="9"/>
      <c r="FK154" s="8"/>
      <c r="FM154" s="9"/>
      <c r="FP154" s="9"/>
      <c r="FS154" s="9"/>
      <c r="FY154" s="9"/>
      <c r="GC154" s="8"/>
      <c r="GD154" s="8"/>
      <c r="GE154" s="9"/>
      <c r="GF154" s="8"/>
      <c r="GG154" s="8"/>
      <c r="GH154" s="9"/>
      <c r="GK154" s="9"/>
      <c r="GS154" s="8"/>
      <c r="GT154" s="8"/>
      <c r="HC154" s="9"/>
    </row>
    <row r="155" ht="15.75" customHeight="1">
      <c r="A155" s="1"/>
      <c r="D155" s="9"/>
      <c r="G155" s="9"/>
      <c r="J155" s="9"/>
      <c r="M155" s="9"/>
      <c r="P155" s="9"/>
      <c r="V155" s="9"/>
      <c r="Y155" s="9"/>
      <c r="AB155" s="9"/>
      <c r="AE155" s="9"/>
      <c r="AH155" s="9"/>
      <c r="AI155" s="10"/>
      <c r="AK155" s="9"/>
      <c r="AO155" s="23"/>
      <c r="AP155" s="23"/>
      <c r="AX155" s="24"/>
      <c r="AY155" s="24"/>
      <c r="BA155" s="8"/>
      <c r="BB155" s="8"/>
      <c r="BH155" s="23"/>
      <c r="BJ155" s="23"/>
      <c r="BK155" s="23"/>
      <c r="BM155" s="10"/>
      <c r="BN155" s="10"/>
      <c r="BP155" s="8"/>
      <c r="BQ155" s="8"/>
      <c r="BV155" s="23"/>
      <c r="BW155" s="23"/>
      <c r="BY155" s="8"/>
      <c r="BZ155" s="8"/>
      <c r="CA155" s="9"/>
      <c r="CB155" s="23"/>
      <c r="CC155" s="23"/>
      <c r="CD155" s="9"/>
      <c r="CG155" s="9"/>
      <c r="CJ155" s="9"/>
      <c r="CM155" s="9"/>
      <c r="CP155" s="9"/>
      <c r="CS155" s="9"/>
      <c r="CV155" s="9"/>
      <c r="CY155" s="9"/>
      <c r="DB155" s="9"/>
      <c r="DE155" s="9"/>
      <c r="DH155" s="9"/>
      <c r="DK155" s="9"/>
      <c r="DN155" s="9"/>
      <c r="DQ155" s="9"/>
      <c r="DT155" s="9"/>
      <c r="DW155" s="9"/>
      <c r="DX155" s="8"/>
      <c r="DY155" s="8"/>
      <c r="DZ155" s="9"/>
      <c r="EA155" s="8"/>
      <c r="EC155" s="9"/>
      <c r="EF155" s="9"/>
      <c r="EI155" s="9"/>
      <c r="EL155" s="9"/>
      <c r="EO155" s="9"/>
      <c r="ER155" s="9"/>
      <c r="EU155" s="9"/>
      <c r="EX155" s="9"/>
      <c r="FA155" s="9"/>
      <c r="FD155" s="9"/>
      <c r="FG155" s="9"/>
      <c r="FJ155" s="9"/>
      <c r="FK155" s="8"/>
      <c r="FM155" s="9"/>
      <c r="FP155" s="9"/>
      <c r="FS155" s="9"/>
      <c r="FY155" s="9"/>
      <c r="GC155" s="8"/>
      <c r="GD155" s="8"/>
      <c r="GE155" s="9"/>
      <c r="GF155" s="8"/>
      <c r="GG155" s="8"/>
      <c r="GH155" s="9"/>
      <c r="GK155" s="9"/>
      <c r="GS155" s="8"/>
      <c r="GT155" s="8"/>
      <c r="HC155" s="9"/>
    </row>
    <row r="156" ht="15.75" customHeight="1">
      <c r="A156" s="1"/>
      <c r="D156" s="9"/>
      <c r="G156" s="9"/>
      <c r="J156" s="9"/>
      <c r="M156" s="9"/>
      <c r="P156" s="9"/>
      <c r="V156" s="9"/>
      <c r="Y156" s="9"/>
      <c r="AB156" s="9"/>
      <c r="AE156" s="9"/>
      <c r="AH156" s="9"/>
      <c r="AI156" s="10"/>
      <c r="AK156" s="9"/>
      <c r="AO156" s="23"/>
      <c r="AP156" s="23"/>
      <c r="AX156" s="24"/>
      <c r="AY156" s="24"/>
      <c r="BA156" s="8"/>
      <c r="BB156" s="8"/>
      <c r="BH156" s="23"/>
      <c r="BJ156" s="23"/>
      <c r="BK156" s="23"/>
      <c r="BM156" s="10"/>
      <c r="BN156" s="10"/>
      <c r="BP156" s="8"/>
      <c r="BQ156" s="8"/>
      <c r="BV156" s="23"/>
      <c r="BW156" s="23"/>
      <c r="BY156" s="8"/>
      <c r="BZ156" s="8"/>
      <c r="CA156" s="9"/>
      <c r="CB156" s="23"/>
      <c r="CC156" s="23"/>
      <c r="CD156" s="9"/>
      <c r="CG156" s="9"/>
      <c r="CJ156" s="9"/>
      <c r="CM156" s="9"/>
      <c r="CP156" s="9"/>
      <c r="CS156" s="9"/>
      <c r="CV156" s="9"/>
      <c r="CY156" s="9"/>
      <c r="DB156" s="9"/>
      <c r="DE156" s="9"/>
      <c r="DH156" s="9"/>
      <c r="DK156" s="9"/>
      <c r="DN156" s="9"/>
      <c r="DQ156" s="9"/>
      <c r="DT156" s="9"/>
      <c r="DW156" s="9"/>
      <c r="DX156" s="8"/>
      <c r="DY156" s="8"/>
      <c r="DZ156" s="9"/>
      <c r="EA156" s="8"/>
      <c r="EC156" s="9"/>
      <c r="EF156" s="9"/>
      <c r="EI156" s="9"/>
      <c r="EL156" s="9"/>
      <c r="EO156" s="9"/>
      <c r="ER156" s="9"/>
      <c r="EU156" s="9"/>
      <c r="EX156" s="9"/>
      <c r="FA156" s="9"/>
      <c r="FD156" s="9"/>
      <c r="FG156" s="9"/>
      <c r="FJ156" s="9"/>
      <c r="FK156" s="8"/>
      <c r="FM156" s="9"/>
      <c r="FP156" s="9"/>
      <c r="FS156" s="9"/>
      <c r="FY156" s="9"/>
      <c r="GC156" s="8"/>
      <c r="GD156" s="8"/>
      <c r="GE156" s="9"/>
      <c r="GF156" s="8"/>
      <c r="GG156" s="8"/>
      <c r="GH156" s="9"/>
      <c r="GK156" s="9"/>
      <c r="GS156" s="8"/>
      <c r="GT156" s="8"/>
      <c r="HC156" s="9"/>
    </row>
    <row r="157" ht="15.75" customHeight="1">
      <c r="A157" s="1"/>
      <c r="D157" s="9"/>
      <c r="G157" s="9"/>
      <c r="J157" s="9"/>
      <c r="M157" s="9"/>
      <c r="P157" s="9"/>
      <c r="V157" s="9"/>
      <c r="Y157" s="9"/>
      <c r="AB157" s="9"/>
      <c r="AE157" s="9"/>
      <c r="AH157" s="9"/>
      <c r="AI157" s="10"/>
      <c r="AK157" s="9"/>
      <c r="AO157" s="23"/>
      <c r="AP157" s="23"/>
      <c r="AX157" s="24"/>
      <c r="AY157" s="24"/>
      <c r="BA157" s="8"/>
      <c r="BB157" s="8"/>
      <c r="BH157" s="23"/>
      <c r="BJ157" s="23"/>
      <c r="BK157" s="23"/>
      <c r="BM157" s="10"/>
      <c r="BN157" s="10"/>
      <c r="BP157" s="8"/>
      <c r="BQ157" s="8"/>
      <c r="BV157" s="23"/>
      <c r="BW157" s="23"/>
      <c r="BY157" s="8"/>
      <c r="BZ157" s="8"/>
      <c r="CA157" s="9"/>
      <c r="CB157" s="23"/>
      <c r="CC157" s="23"/>
      <c r="CD157" s="9"/>
      <c r="CG157" s="9"/>
      <c r="CJ157" s="9"/>
      <c r="CM157" s="9"/>
      <c r="CP157" s="9"/>
      <c r="CS157" s="9"/>
      <c r="CV157" s="9"/>
      <c r="CY157" s="9"/>
      <c r="DB157" s="9"/>
      <c r="DE157" s="9"/>
      <c r="DH157" s="9"/>
      <c r="DK157" s="9"/>
      <c r="DN157" s="9"/>
      <c r="DQ157" s="9"/>
      <c r="DT157" s="9"/>
      <c r="DW157" s="9"/>
      <c r="DX157" s="8"/>
      <c r="DY157" s="8"/>
      <c r="DZ157" s="9"/>
      <c r="EA157" s="8"/>
      <c r="EC157" s="9"/>
      <c r="EF157" s="9"/>
      <c r="EI157" s="9"/>
      <c r="EL157" s="9"/>
      <c r="EO157" s="9"/>
      <c r="ER157" s="9"/>
      <c r="EU157" s="9"/>
      <c r="EX157" s="9"/>
      <c r="FA157" s="9"/>
      <c r="FD157" s="9"/>
      <c r="FG157" s="9"/>
      <c r="FJ157" s="9"/>
      <c r="FK157" s="8"/>
      <c r="FM157" s="9"/>
      <c r="FP157" s="9"/>
      <c r="FS157" s="9"/>
      <c r="FY157" s="9"/>
      <c r="GC157" s="8"/>
      <c r="GD157" s="8"/>
      <c r="GE157" s="9"/>
      <c r="GF157" s="8"/>
      <c r="GG157" s="8"/>
      <c r="GH157" s="9"/>
      <c r="GK157" s="9"/>
      <c r="GS157" s="8"/>
      <c r="GT157" s="8"/>
      <c r="HC157" s="9"/>
    </row>
    <row r="158" ht="15.75" customHeight="1">
      <c r="A158" s="1"/>
      <c r="D158" s="9"/>
      <c r="G158" s="9"/>
      <c r="J158" s="9"/>
      <c r="M158" s="9"/>
      <c r="P158" s="9"/>
      <c r="V158" s="9"/>
      <c r="Y158" s="9"/>
      <c r="AB158" s="9"/>
      <c r="AE158" s="9"/>
      <c r="AH158" s="9"/>
      <c r="AI158" s="10"/>
      <c r="AK158" s="9"/>
      <c r="AO158" s="23"/>
      <c r="AP158" s="23"/>
      <c r="AX158" s="24"/>
      <c r="AY158" s="24"/>
      <c r="BA158" s="8"/>
      <c r="BB158" s="8"/>
      <c r="BH158" s="23"/>
      <c r="BJ158" s="23"/>
      <c r="BK158" s="23"/>
      <c r="BM158" s="10"/>
      <c r="BN158" s="10"/>
      <c r="BP158" s="8"/>
      <c r="BQ158" s="8"/>
      <c r="BV158" s="23"/>
      <c r="BW158" s="23"/>
      <c r="BY158" s="8"/>
      <c r="BZ158" s="8"/>
      <c r="CA158" s="9"/>
      <c r="CB158" s="23"/>
      <c r="CC158" s="23"/>
      <c r="CD158" s="9"/>
      <c r="CG158" s="9"/>
      <c r="CJ158" s="9"/>
      <c r="CM158" s="9"/>
      <c r="CP158" s="9"/>
      <c r="CS158" s="9"/>
      <c r="CV158" s="9"/>
      <c r="CY158" s="9"/>
      <c r="DB158" s="9"/>
      <c r="DE158" s="9"/>
      <c r="DH158" s="9"/>
      <c r="DK158" s="9"/>
      <c r="DN158" s="9"/>
      <c r="DQ158" s="9"/>
      <c r="DT158" s="9"/>
      <c r="DW158" s="9"/>
      <c r="DX158" s="8"/>
      <c r="DY158" s="8"/>
      <c r="DZ158" s="9"/>
      <c r="EA158" s="8"/>
      <c r="EC158" s="9"/>
      <c r="EF158" s="9"/>
      <c r="EI158" s="9"/>
      <c r="EL158" s="9"/>
      <c r="EO158" s="9"/>
      <c r="ER158" s="9"/>
      <c r="EU158" s="9"/>
      <c r="EX158" s="9"/>
      <c r="FA158" s="9"/>
      <c r="FD158" s="9"/>
      <c r="FG158" s="9"/>
      <c r="FJ158" s="9"/>
      <c r="FK158" s="8"/>
      <c r="FM158" s="9"/>
      <c r="FP158" s="9"/>
      <c r="FS158" s="9"/>
      <c r="FY158" s="9"/>
      <c r="GC158" s="8"/>
      <c r="GD158" s="8"/>
      <c r="GE158" s="9"/>
      <c r="GF158" s="8"/>
      <c r="GG158" s="8"/>
      <c r="GH158" s="9"/>
      <c r="GK158" s="9"/>
      <c r="GS158" s="8"/>
      <c r="GT158" s="8"/>
      <c r="HC158" s="9"/>
    </row>
    <row r="159" ht="15.75" customHeight="1">
      <c r="A159" s="1"/>
      <c r="D159" s="9"/>
      <c r="G159" s="9"/>
      <c r="J159" s="9"/>
      <c r="M159" s="9"/>
      <c r="P159" s="9"/>
      <c r="V159" s="9"/>
      <c r="Y159" s="9"/>
      <c r="AB159" s="9"/>
      <c r="AE159" s="9"/>
      <c r="AH159" s="9"/>
      <c r="AI159" s="10"/>
      <c r="AK159" s="9"/>
      <c r="AO159" s="23"/>
      <c r="AP159" s="23"/>
      <c r="AX159" s="24"/>
      <c r="AY159" s="24"/>
      <c r="BA159" s="8"/>
      <c r="BB159" s="8"/>
      <c r="BH159" s="23"/>
      <c r="BJ159" s="23"/>
      <c r="BK159" s="23"/>
      <c r="BM159" s="10"/>
      <c r="BN159" s="10"/>
      <c r="BP159" s="8"/>
      <c r="BQ159" s="8"/>
      <c r="BV159" s="23"/>
      <c r="BW159" s="23"/>
      <c r="BY159" s="8"/>
      <c r="BZ159" s="8"/>
      <c r="CA159" s="9"/>
      <c r="CB159" s="23"/>
      <c r="CC159" s="23"/>
      <c r="CD159" s="9"/>
      <c r="CG159" s="9"/>
      <c r="CJ159" s="9"/>
      <c r="CM159" s="9"/>
      <c r="CP159" s="9"/>
      <c r="CS159" s="9"/>
      <c r="CV159" s="9"/>
      <c r="CY159" s="9"/>
      <c r="DB159" s="9"/>
      <c r="DE159" s="9"/>
      <c r="DH159" s="9"/>
      <c r="DK159" s="9"/>
      <c r="DN159" s="9"/>
      <c r="DQ159" s="9"/>
      <c r="DT159" s="9"/>
      <c r="DW159" s="9"/>
      <c r="DX159" s="8"/>
      <c r="DY159" s="8"/>
      <c r="DZ159" s="9"/>
      <c r="EA159" s="8"/>
      <c r="EC159" s="9"/>
      <c r="EF159" s="9"/>
      <c r="EI159" s="9"/>
      <c r="EL159" s="9"/>
      <c r="EO159" s="9"/>
      <c r="ER159" s="9"/>
      <c r="EU159" s="9"/>
      <c r="EX159" s="9"/>
      <c r="FA159" s="9"/>
      <c r="FD159" s="9"/>
      <c r="FG159" s="9"/>
      <c r="FJ159" s="9"/>
      <c r="FK159" s="8"/>
      <c r="FM159" s="9"/>
      <c r="FP159" s="9"/>
      <c r="FS159" s="9"/>
      <c r="FY159" s="9"/>
      <c r="GC159" s="8"/>
      <c r="GD159" s="8"/>
      <c r="GE159" s="9"/>
      <c r="GF159" s="8"/>
      <c r="GG159" s="8"/>
      <c r="GH159" s="9"/>
      <c r="GK159" s="9"/>
      <c r="GS159" s="8"/>
      <c r="GT159" s="8"/>
      <c r="HC159" s="9"/>
    </row>
    <row r="160" ht="15.75" customHeight="1">
      <c r="A160" s="1"/>
      <c r="D160" s="9"/>
      <c r="G160" s="9"/>
      <c r="J160" s="9"/>
      <c r="M160" s="9"/>
      <c r="P160" s="9"/>
      <c r="V160" s="9"/>
      <c r="Y160" s="9"/>
      <c r="AB160" s="9"/>
      <c r="AE160" s="9"/>
      <c r="AH160" s="9"/>
      <c r="AI160" s="10"/>
      <c r="AK160" s="9"/>
      <c r="AO160" s="23"/>
      <c r="AP160" s="23"/>
      <c r="AX160" s="24"/>
      <c r="AY160" s="24"/>
      <c r="BA160" s="8"/>
      <c r="BB160" s="8"/>
      <c r="BH160" s="23"/>
      <c r="BJ160" s="23"/>
      <c r="BK160" s="23"/>
      <c r="BM160" s="10"/>
      <c r="BN160" s="10"/>
      <c r="BP160" s="8"/>
      <c r="BQ160" s="8"/>
      <c r="BV160" s="23"/>
      <c r="BW160" s="23"/>
      <c r="BY160" s="8"/>
      <c r="BZ160" s="8"/>
      <c r="CA160" s="9"/>
      <c r="CB160" s="23"/>
      <c r="CC160" s="23"/>
      <c r="CD160" s="9"/>
      <c r="CG160" s="9"/>
      <c r="CJ160" s="9"/>
      <c r="CM160" s="9"/>
      <c r="CP160" s="9"/>
      <c r="CS160" s="9"/>
      <c r="CV160" s="9"/>
      <c r="CY160" s="9"/>
      <c r="DB160" s="9"/>
      <c r="DE160" s="9"/>
      <c r="DH160" s="9"/>
      <c r="DK160" s="9"/>
      <c r="DN160" s="9"/>
      <c r="DQ160" s="9"/>
      <c r="DT160" s="9"/>
      <c r="DW160" s="9"/>
      <c r="DX160" s="8"/>
      <c r="DY160" s="8"/>
      <c r="DZ160" s="9"/>
      <c r="EA160" s="8"/>
      <c r="EC160" s="9"/>
      <c r="EF160" s="9"/>
      <c r="EI160" s="9"/>
      <c r="EL160" s="9"/>
      <c r="EO160" s="9"/>
      <c r="ER160" s="9"/>
      <c r="EU160" s="9"/>
      <c r="EX160" s="9"/>
      <c r="FA160" s="9"/>
      <c r="FD160" s="9"/>
      <c r="FG160" s="9"/>
      <c r="FJ160" s="9"/>
      <c r="FK160" s="8"/>
      <c r="FM160" s="9"/>
      <c r="FP160" s="9"/>
      <c r="FS160" s="9"/>
      <c r="FY160" s="9"/>
      <c r="GC160" s="8"/>
      <c r="GD160" s="8"/>
      <c r="GE160" s="9"/>
      <c r="GF160" s="8"/>
      <c r="GG160" s="8"/>
      <c r="GH160" s="9"/>
      <c r="GK160" s="9"/>
      <c r="GS160" s="8"/>
      <c r="GT160" s="8"/>
      <c r="HC160" s="9"/>
    </row>
    <row r="161" ht="15.75" customHeight="1">
      <c r="A161" s="1"/>
      <c r="D161" s="9"/>
      <c r="G161" s="9"/>
      <c r="J161" s="9"/>
      <c r="M161" s="9"/>
      <c r="P161" s="9"/>
      <c r="V161" s="9"/>
      <c r="Y161" s="9"/>
      <c r="AB161" s="9"/>
      <c r="AE161" s="9"/>
      <c r="AH161" s="9"/>
      <c r="AI161" s="10"/>
      <c r="AK161" s="9"/>
      <c r="AO161" s="23"/>
      <c r="AP161" s="23"/>
      <c r="AX161" s="24"/>
      <c r="AY161" s="24"/>
      <c r="BA161" s="8"/>
      <c r="BB161" s="8"/>
      <c r="BH161" s="23"/>
      <c r="BJ161" s="23"/>
      <c r="BK161" s="23"/>
      <c r="BM161" s="10"/>
      <c r="BN161" s="10"/>
      <c r="BP161" s="8"/>
      <c r="BQ161" s="8"/>
      <c r="BV161" s="23"/>
      <c r="BW161" s="23"/>
      <c r="BY161" s="8"/>
      <c r="BZ161" s="8"/>
      <c r="CA161" s="9"/>
      <c r="CB161" s="23"/>
      <c r="CC161" s="23"/>
      <c r="CD161" s="9"/>
      <c r="CG161" s="9"/>
      <c r="CJ161" s="9"/>
      <c r="CM161" s="9"/>
      <c r="CP161" s="9"/>
      <c r="CS161" s="9"/>
      <c r="CV161" s="9"/>
      <c r="CY161" s="9"/>
      <c r="DB161" s="9"/>
      <c r="DE161" s="9"/>
      <c r="DH161" s="9"/>
      <c r="DK161" s="9"/>
      <c r="DN161" s="9"/>
      <c r="DQ161" s="9"/>
      <c r="DT161" s="9"/>
      <c r="DW161" s="9"/>
      <c r="DX161" s="8"/>
      <c r="DY161" s="8"/>
      <c r="DZ161" s="9"/>
      <c r="EA161" s="8"/>
      <c r="EC161" s="9"/>
      <c r="EF161" s="9"/>
      <c r="EI161" s="9"/>
      <c r="EL161" s="9"/>
      <c r="EO161" s="9"/>
      <c r="ER161" s="9"/>
      <c r="EU161" s="9"/>
      <c r="EX161" s="9"/>
      <c r="FA161" s="9"/>
      <c r="FD161" s="9"/>
      <c r="FG161" s="9"/>
      <c r="FJ161" s="9"/>
      <c r="FK161" s="8"/>
      <c r="FM161" s="9"/>
      <c r="FP161" s="9"/>
      <c r="FS161" s="9"/>
      <c r="FY161" s="9"/>
      <c r="GC161" s="8"/>
      <c r="GD161" s="8"/>
      <c r="GE161" s="9"/>
      <c r="GF161" s="8"/>
      <c r="GG161" s="8"/>
      <c r="GH161" s="9"/>
      <c r="GK161" s="9"/>
      <c r="GS161" s="8"/>
      <c r="GT161" s="8"/>
      <c r="HC161" s="9"/>
    </row>
    <row r="162" ht="15.75" customHeight="1">
      <c r="A162" s="1"/>
      <c r="D162" s="9"/>
      <c r="G162" s="9"/>
      <c r="J162" s="9"/>
      <c r="M162" s="9"/>
      <c r="P162" s="9"/>
      <c r="V162" s="9"/>
      <c r="Y162" s="9"/>
      <c r="AB162" s="9"/>
      <c r="AE162" s="9"/>
      <c r="AH162" s="9"/>
      <c r="AI162" s="10"/>
      <c r="AK162" s="9"/>
      <c r="AO162" s="23"/>
      <c r="AP162" s="23"/>
      <c r="AX162" s="24"/>
      <c r="AY162" s="24"/>
      <c r="BA162" s="8"/>
      <c r="BB162" s="8"/>
      <c r="BH162" s="23"/>
      <c r="BJ162" s="23"/>
      <c r="BK162" s="23"/>
      <c r="BM162" s="10"/>
      <c r="BN162" s="10"/>
      <c r="BP162" s="8"/>
      <c r="BQ162" s="8"/>
      <c r="BV162" s="23"/>
      <c r="BW162" s="23"/>
      <c r="BY162" s="8"/>
      <c r="BZ162" s="8"/>
      <c r="CA162" s="9"/>
      <c r="CB162" s="23"/>
      <c r="CC162" s="23"/>
      <c r="CD162" s="9"/>
      <c r="CG162" s="9"/>
      <c r="CJ162" s="9"/>
      <c r="CM162" s="9"/>
      <c r="CP162" s="9"/>
      <c r="CS162" s="9"/>
      <c r="CV162" s="9"/>
      <c r="CY162" s="9"/>
      <c r="DB162" s="9"/>
      <c r="DE162" s="9"/>
      <c r="DH162" s="9"/>
      <c r="DK162" s="9"/>
      <c r="DN162" s="9"/>
      <c r="DQ162" s="9"/>
      <c r="DT162" s="9"/>
      <c r="DW162" s="9"/>
      <c r="DX162" s="8"/>
      <c r="DY162" s="8"/>
      <c r="DZ162" s="9"/>
      <c r="EA162" s="8"/>
      <c r="EC162" s="9"/>
      <c r="EF162" s="9"/>
      <c r="EI162" s="9"/>
      <c r="EL162" s="9"/>
      <c r="EO162" s="9"/>
      <c r="ER162" s="9"/>
      <c r="EU162" s="9"/>
      <c r="EX162" s="9"/>
      <c r="FA162" s="9"/>
      <c r="FD162" s="9"/>
      <c r="FG162" s="9"/>
      <c r="FJ162" s="9"/>
      <c r="FK162" s="8"/>
      <c r="FM162" s="9"/>
      <c r="FP162" s="9"/>
      <c r="FS162" s="9"/>
      <c r="FY162" s="9"/>
      <c r="GC162" s="8"/>
      <c r="GD162" s="8"/>
      <c r="GE162" s="9"/>
      <c r="GF162" s="8"/>
      <c r="GG162" s="8"/>
      <c r="GH162" s="9"/>
      <c r="GK162" s="9"/>
      <c r="GS162" s="8"/>
      <c r="GT162" s="8"/>
      <c r="HC162" s="9"/>
    </row>
    <row r="163" ht="15.75" customHeight="1">
      <c r="A163" s="1"/>
      <c r="D163" s="9"/>
      <c r="G163" s="9"/>
      <c r="J163" s="9"/>
      <c r="M163" s="9"/>
      <c r="P163" s="9"/>
      <c r="V163" s="9"/>
      <c r="Y163" s="9"/>
      <c r="AB163" s="9"/>
      <c r="AE163" s="9"/>
      <c r="AH163" s="9"/>
      <c r="AI163" s="10"/>
      <c r="AK163" s="9"/>
      <c r="AO163" s="23"/>
      <c r="AP163" s="23"/>
      <c r="AX163" s="24"/>
      <c r="AY163" s="24"/>
      <c r="BA163" s="8"/>
      <c r="BB163" s="8"/>
      <c r="BH163" s="23"/>
      <c r="BJ163" s="23"/>
      <c r="BK163" s="23"/>
      <c r="BM163" s="10"/>
      <c r="BN163" s="10"/>
      <c r="BP163" s="8"/>
      <c r="BQ163" s="8"/>
      <c r="BV163" s="23"/>
      <c r="BW163" s="23"/>
      <c r="BY163" s="8"/>
      <c r="BZ163" s="8"/>
      <c r="CA163" s="9"/>
      <c r="CB163" s="23"/>
      <c r="CC163" s="23"/>
      <c r="CD163" s="9"/>
      <c r="CG163" s="9"/>
      <c r="CJ163" s="9"/>
      <c r="CM163" s="9"/>
      <c r="CP163" s="9"/>
      <c r="CS163" s="9"/>
      <c r="CV163" s="9"/>
      <c r="CY163" s="9"/>
      <c r="DB163" s="9"/>
      <c r="DE163" s="9"/>
      <c r="DH163" s="9"/>
      <c r="DK163" s="9"/>
      <c r="DN163" s="9"/>
      <c r="DQ163" s="9"/>
      <c r="DT163" s="9"/>
      <c r="DW163" s="9"/>
      <c r="DX163" s="8"/>
      <c r="DY163" s="8"/>
      <c r="DZ163" s="9"/>
      <c r="EA163" s="8"/>
      <c r="EC163" s="9"/>
      <c r="EF163" s="9"/>
      <c r="EI163" s="9"/>
      <c r="EL163" s="9"/>
      <c r="EO163" s="9"/>
      <c r="ER163" s="9"/>
      <c r="EU163" s="9"/>
      <c r="EX163" s="9"/>
      <c r="FA163" s="9"/>
      <c r="FD163" s="9"/>
      <c r="FG163" s="9"/>
      <c r="FJ163" s="9"/>
      <c r="FK163" s="8"/>
      <c r="FM163" s="9"/>
      <c r="FP163" s="9"/>
      <c r="FS163" s="9"/>
      <c r="FY163" s="9"/>
      <c r="GC163" s="8"/>
      <c r="GD163" s="8"/>
      <c r="GE163" s="9"/>
      <c r="GF163" s="8"/>
      <c r="GG163" s="8"/>
      <c r="GH163" s="9"/>
      <c r="GK163" s="9"/>
      <c r="GS163" s="8"/>
      <c r="GT163" s="8"/>
      <c r="HC163" s="9"/>
    </row>
    <row r="164" ht="15.75" customHeight="1">
      <c r="A164" s="1"/>
      <c r="D164" s="9"/>
      <c r="G164" s="9"/>
      <c r="J164" s="9"/>
      <c r="M164" s="9"/>
      <c r="P164" s="9"/>
      <c r="V164" s="9"/>
      <c r="Y164" s="9"/>
      <c r="AB164" s="9"/>
      <c r="AE164" s="9"/>
      <c r="AH164" s="9"/>
      <c r="AI164" s="10"/>
      <c r="AK164" s="9"/>
      <c r="AO164" s="23"/>
      <c r="AP164" s="23"/>
      <c r="AX164" s="24"/>
      <c r="AY164" s="24"/>
      <c r="BA164" s="8"/>
      <c r="BB164" s="8"/>
      <c r="BH164" s="23"/>
      <c r="BJ164" s="23"/>
      <c r="BK164" s="23"/>
      <c r="BM164" s="10"/>
      <c r="BN164" s="10"/>
      <c r="BP164" s="8"/>
      <c r="BQ164" s="8"/>
      <c r="BV164" s="23"/>
      <c r="BW164" s="23"/>
      <c r="BY164" s="8"/>
      <c r="BZ164" s="8"/>
      <c r="CA164" s="9"/>
      <c r="CB164" s="23"/>
      <c r="CC164" s="23"/>
      <c r="CD164" s="9"/>
      <c r="CG164" s="9"/>
      <c r="CJ164" s="9"/>
      <c r="CM164" s="9"/>
      <c r="CP164" s="9"/>
      <c r="CS164" s="9"/>
      <c r="CV164" s="9"/>
      <c r="CY164" s="9"/>
      <c r="DB164" s="9"/>
      <c r="DE164" s="9"/>
      <c r="DH164" s="9"/>
      <c r="DK164" s="9"/>
      <c r="DN164" s="9"/>
      <c r="DQ164" s="9"/>
      <c r="DT164" s="9"/>
      <c r="DW164" s="9"/>
      <c r="DX164" s="8"/>
      <c r="DY164" s="8"/>
      <c r="DZ164" s="9"/>
      <c r="EA164" s="8"/>
      <c r="EC164" s="9"/>
      <c r="EF164" s="9"/>
      <c r="EI164" s="9"/>
      <c r="EL164" s="9"/>
      <c r="EO164" s="9"/>
      <c r="ER164" s="9"/>
      <c r="EU164" s="9"/>
      <c r="EX164" s="9"/>
      <c r="FA164" s="9"/>
      <c r="FD164" s="9"/>
      <c r="FG164" s="9"/>
      <c r="FJ164" s="9"/>
      <c r="FK164" s="8"/>
      <c r="FM164" s="9"/>
      <c r="FP164" s="9"/>
      <c r="FS164" s="9"/>
      <c r="FY164" s="9"/>
      <c r="GC164" s="8"/>
      <c r="GD164" s="8"/>
      <c r="GE164" s="9"/>
      <c r="GF164" s="8"/>
      <c r="GG164" s="8"/>
      <c r="GH164" s="9"/>
      <c r="GK164" s="9"/>
      <c r="GS164" s="8"/>
      <c r="GT164" s="8"/>
      <c r="HC164" s="9"/>
    </row>
    <row r="165" ht="15.75" customHeight="1">
      <c r="A165" s="1"/>
      <c r="D165" s="9"/>
      <c r="G165" s="9"/>
      <c r="J165" s="9"/>
      <c r="M165" s="9"/>
      <c r="P165" s="9"/>
      <c r="V165" s="9"/>
      <c r="Y165" s="9"/>
      <c r="AB165" s="9"/>
      <c r="AE165" s="9"/>
      <c r="AH165" s="9"/>
      <c r="AI165" s="10"/>
      <c r="AK165" s="9"/>
      <c r="AO165" s="23"/>
      <c r="AP165" s="23"/>
      <c r="AX165" s="24"/>
      <c r="AY165" s="24"/>
      <c r="BA165" s="8"/>
      <c r="BB165" s="8"/>
      <c r="BH165" s="23"/>
      <c r="BJ165" s="23"/>
      <c r="BK165" s="23"/>
      <c r="BM165" s="10"/>
      <c r="BN165" s="10"/>
      <c r="BP165" s="8"/>
      <c r="BQ165" s="8"/>
      <c r="BV165" s="23"/>
      <c r="BW165" s="23"/>
      <c r="BY165" s="8"/>
      <c r="BZ165" s="8"/>
      <c r="CA165" s="9"/>
      <c r="CB165" s="23"/>
      <c r="CC165" s="23"/>
      <c r="CD165" s="9"/>
      <c r="CG165" s="9"/>
      <c r="CJ165" s="9"/>
      <c r="CM165" s="9"/>
      <c r="CP165" s="9"/>
      <c r="CS165" s="9"/>
      <c r="CV165" s="9"/>
      <c r="CY165" s="9"/>
      <c r="DB165" s="9"/>
      <c r="DE165" s="9"/>
      <c r="DH165" s="9"/>
      <c r="DK165" s="9"/>
      <c r="DN165" s="9"/>
      <c r="DQ165" s="9"/>
      <c r="DT165" s="9"/>
      <c r="DW165" s="9"/>
      <c r="DX165" s="8"/>
      <c r="DY165" s="8"/>
      <c r="DZ165" s="9"/>
      <c r="EA165" s="8"/>
      <c r="EC165" s="9"/>
      <c r="EF165" s="9"/>
      <c r="EI165" s="9"/>
      <c r="EL165" s="9"/>
      <c r="EO165" s="9"/>
      <c r="ER165" s="9"/>
      <c r="EU165" s="9"/>
      <c r="EX165" s="9"/>
      <c r="FA165" s="9"/>
      <c r="FD165" s="9"/>
      <c r="FG165" s="9"/>
      <c r="FJ165" s="9"/>
      <c r="FK165" s="8"/>
      <c r="FM165" s="9"/>
      <c r="FP165" s="9"/>
      <c r="FS165" s="9"/>
      <c r="FY165" s="9"/>
      <c r="GC165" s="8"/>
      <c r="GD165" s="8"/>
      <c r="GE165" s="9"/>
      <c r="GF165" s="8"/>
      <c r="GG165" s="8"/>
      <c r="GH165" s="9"/>
      <c r="GK165" s="9"/>
      <c r="GS165" s="8"/>
      <c r="GT165" s="8"/>
      <c r="HC165" s="9"/>
    </row>
    <row r="166" ht="15.75" customHeight="1">
      <c r="A166" s="1"/>
      <c r="D166" s="9"/>
      <c r="G166" s="9"/>
      <c r="J166" s="9"/>
      <c r="M166" s="9"/>
      <c r="P166" s="9"/>
      <c r="V166" s="9"/>
      <c r="Y166" s="9"/>
      <c r="AB166" s="9"/>
      <c r="AE166" s="9"/>
      <c r="AH166" s="9"/>
      <c r="AI166" s="10"/>
      <c r="AK166" s="9"/>
      <c r="AO166" s="23"/>
      <c r="AP166" s="23"/>
      <c r="AX166" s="24"/>
      <c r="AY166" s="24"/>
      <c r="BA166" s="8"/>
      <c r="BB166" s="8"/>
      <c r="BH166" s="23"/>
      <c r="BJ166" s="23"/>
      <c r="BK166" s="23"/>
      <c r="BM166" s="10"/>
      <c r="BN166" s="10"/>
      <c r="BP166" s="8"/>
      <c r="BQ166" s="8"/>
      <c r="BV166" s="23"/>
      <c r="BW166" s="23"/>
      <c r="BY166" s="8"/>
      <c r="BZ166" s="8"/>
      <c r="CA166" s="9"/>
      <c r="CB166" s="23"/>
      <c r="CC166" s="23"/>
      <c r="CD166" s="9"/>
      <c r="CG166" s="9"/>
      <c r="CJ166" s="9"/>
      <c r="CM166" s="9"/>
      <c r="CP166" s="9"/>
      <c r="CS166" s="9"/>
      <c r="CV166" s="9"/>
      <c r="CY166" s="9"/>
      <c r="DB166" s="9"/>
      <c r="DE166" s="9"/>
      <c r="DH166" s="9"/>
      <c r="DK166" s="9"/>
      <c r="DN166" s="9"/>
      <c r="DQ166" s="9"/>
      <c r="DT166" s="9"/>
      <c r="DW166" s="9"/>
      <c r="DX166" s="8"/>
      <c r="DY166" s="8"/>
      <c r="DZ166" s="9"/>
      <c r="EA166" s="8"/>
      <c r="EC166" s="9"/>
      <c r="EF166" s="9"/>
      <c r="EI166" s="9"/>
      <c r="EL166" s="9"/>
      <c r="EO166" s="9"/>
      <c r="ER166" s="9"/>
      <c r="EU166" s="9"/>
      <c r="EX166" s="9"/>
      <c r="FA166" s="9"/>
      <c r="FD166" s="9"/>
      <c r="FG166" s="9"/>
      <c r="FJ166" s="9"/>
      <c r="FK166" s="8"/>
      <c r="FM166" s="9"/>
      <c r="FP166" s="9"/>
      <c r="FS166" s="9"/>
      <c r="FY166" s="9"/>
      <c r="GC166" s="8"/>
      <c r="GD166" s="8"/>
      <c r="GE166" s="9"/>
      <c r="GF166" s="8"/>
      <c r="GG166" s="8"/>
      <c r="GH166" s="9"/>
      <c r="GK166" s="9"/>
      <c r="GS166" s="8"/>
      <c r="GT166" s="8"/>
      <c r="HC166" s="9"/>
    </row>
    <row r="167" ht="15.75" customHeight="1">
      <c r="A167" s="1"/>
      <c r="D167" s="9"/>
      <c r="G167" s="9"/>
      <c r="J167" s="9"/>
      <c r="M167" s="9"/>
      <c r="P167" s="9"/>
      <c r="V167" s="9"/>
      <c r="Y167" s="9"/>
      <c r="AB167" s="9"/>
      <c r="AE167" s="9"/>
      <c r="AH167" s="9"/>
      <c r="AI167" s="10"/>
      <c r="AK167" s="9"/>
      <c r="AO167" s="23"/>
      <c r="AP167" s="23"/>
      <c r="AX167" s="24"/>
      <c r="AY167" s="24"/>
      <c r="BA167" s="8"/>
      <c r="BB167" s="8"/>
      <c r="BH167" s="23"/>
      <c r="BJ167" s="23"/>
      <c r="BK167" s="23"/>
      <c r="BM167" s="10"/>
      <c r="BN167" s="10"/>
      <c r="BP167" s="8"/>
      <c r="BQ167" s="8"/>
      <c r="BV167" s="23"/>
      <c r="BW167" s="23"/>
      <c r="BY167" s="8"/>
      <c r="BZ167" s="8"/>
      <c r="CA167" s="9"/>
      <c r="CB167" s="23"/>
      <c r="CC167" s="23"/>
      <c r="CD167" s="9"/>
      <c r="CG167" s="9"/>
      <c r="CJ167" s="9"/>
      <c r="CM167" s="9"/>
      <c r="CP167" s="9"/>
      <c r="CS167" s="9"/>
      <c r="CV167" s="9"/>
      <c r="CY167" s="9"/>
      <c r="DB167" s="9"/>
      <c r="DE167" s="9"/>
      <c r="DH167" s="9"/>
      <c r="DK167" s="9"/>
      <c r="DN167" s="9"/>
      <c r="DQ167" s="9"/>
      <c r="DT167" s="9"/>
      <c r="DW167" s="9"/>
      <c r="DX167" s="8"/>
      <c r="DY167" s="8"/>
      <c r="DZ167" s="9"/>
      <c r="EA167" s="8"/>
      <c r="EC167" s="9"/>
      <c r="EF167" s="9"/>
      <c r="EI167" s="9"/>
      <c r="EL167" s="9"/>
      <c r="EO167" s="9"/>
      <c r="ER167" s="9"/>
      <c r="EU167" s="9"/>
      <c r="EX167" s="9"/>
      <c r="FA167" s="9"/>
      <c r="FD167" s="9"/>
      <c r="FG167" s="9"/>
      <c r="FJ167" s="9"/>
      <c r="FK167" s="8"/>
      <c r="FM167" s="9"/>
      <c r="FP167" s="9"/>
      <c r="FS167" s="9"/>
      <c r="FY167" s="9"/>
      <c r="GC167" s="8"/>
      <c r="GD167" s="8"/>
      <c r="GE167" s="9"/>
      <c r="GF167" s="8"/>
      <c r="GG167" s="8"/>
      <c r="GH167" s="9"/>
      <c r="GK167" s="9"/>
      <c r="GS167" s="8"/>
      <c r="GT167" s="8"/>
      <c r="HC167" s="9"/>
    </row>
    <row r="168" ht="15.75" customHeight="1">
      <c r="A168" s="1"/>
      <c r="D168" s="9"/>
      <c r="G168" s="9"/>
      <c r="J168" s="9"/>
      <c r="M168" s="9"/>
      <c r="P168" s="9"/>
      <c r="V168" s="9"/>
      <c r="Y168" s="9"/>
      <c r="AB168" s="9"/>
      <c r="AE168" s="9"/>
      <c r="AH168" s="9"/>
      <c r="AI168" s="10"/>
      <c r="AK168" s="9"/>
      <c r="AO168" s="23"/>
      <c r="AP168" s="23"/>
      <c r="AX168" s="24"/>
      <c r="AY168" s="24"/>
      <c r="BA168" s="8"/>
      <c r="BB168" s="8"/>
      <c r="BH168" s="23"/>
      <c r="BJ168" s="23"/>
      <c r="BK168" s="23"/>
      <c r="BM168" s="10"/>
      <c r="BN168" s="10"/>
      <c r="BP168" s="8"/>
      <c r="BQ168" s="8"/>
      <c r="BV168" s="23"/>
      <c r="BW168" s="23"/>
      <c r="BY168" s="8"/>
      <c r="BZ168" s="8"/>
      <c r="CA168" s="9"/>
      <c r="CB168" s="23"/>
      <c r="CC168" s="23"/>
      <c r="CD168" s="9"/>
      <c r="CG168" s="9"/>
      <c r="CJ168" s="9"/>
      <c r="CM168" s="9"/>
      <c r="CP168" s="9"/>
      <c r="CS168" s="9"/>
      <c r="CV168" s="9"/>
      <c r="CY168" s="9"/>
      <c r="DB168" s="9"/>
      <c r="DE168" s="9"/>
      <c r="DH168" s="9"/>
      <c r="DK168" s="9"/>
      <c r="DN168" s="9"/>
      <c r="DQ168" s="9"/>
      <c r="DT168" s="9"/>
      <c r="DW168" s="9"/>
      <c r="DX168" s="8"/>
      <c r="DY168" s="8"/>
      <c r="DZ168" s="9"/>
      <c r="EA168" s="8"/>
      <c r="EC168" s="9"/>
      <c r="EF168" s="9"/>
      <c r="EI168" s="9"/>
      <c r="EL168" s="9"/>
      <c r="EO168" s="9"/>
      <c r="ER168" s="9"/>
      <c r="EU168" s="9"/>
      <c r="EX168" s="9"/>
      <c r="FA168" s="9"/>
      <c r="FD168" s="9"/>
      <c r="FG168" s="9"/>
      <c r="FJ168" s="9"/>
      <c r="FK168" s="8"/>
      <c r="FM168" s="9"/>
      <c r="FP168" s="9"/>
      <c r="FS168" s="9"/>
      <c r="FY168" s="9"/>
      <c r="GC168" s="8"/>
      <c r="GD168" s="8"/>
      <c r="GE168" s="9"/>
      <c r="GF168" s="8"/>
      <c r="GG168" s="8"/>
      <c r="GH168" s="9"/>
      <c r="GK168" s="9"/>
      <c r="GS168" s="8"/>
      <c r="GT168" s="8"/>
      <c r="HC168" s="9"/>
    </row>
    <row r="169" ht="15.75" customHeight="1">
      <c r="A169" s="1"/>
      <c r="D169" s="9"/>
      <c r="G169" s="9"/>
      <c r="J169" s="9"/>
      <c r="M169" s="9"/>
      <c r="P169" s="9"/>
      <c r="V169" s="9"/>
      <c r="Y169" s="9"/>
      <c r="AB169" s="9"/>
      <c r="AE169" s="9"/>
      <c r="AH169" s="9"/>
      <c r="AI169" s="10"/>
      <c r="AK169" s="9"/>
      <c r="AO169" s="23"/>
      <c r="AP169" s="23"/>
      <c r="AX169" s="24"/>
      <c r="AY169" s="24"/>
      <c r="BA169" s="8"/>
      <c r="BB169" s="8"/>
      <c r="BH169" s="23"/>
      <c r="BJ169" s="23"/>
      <c r="BK169" s="23"/>
      <c r="BM169" s="10"/>
      <c r="BN169" s="10"/>
      <c r="BP169" s="8"/>
      <c r="BQ169" s="8"/>
      <c r="BV169" s="23"/>
      <c r="BW169" s="23"/>
      <c r="BY169" s="8"/>
      <c r="BZ169" s="8"/>
      <c r="CA169" s="9"/>
      <c r="CB169" s="23"/>
      <c r="CC169" s="23"/>
      <c r="CD169" s="9"/>
      <c r="CG169" s="9"/>
      <c r="CJ169" s="9"/>
      <c r="CM169" s="9"/>
      <c r="CP169" s="9"/>
      <c r="CS169" s="9"/>
      <c r="CV169" s="9"/>
      <c r="CY169" s="9"/>
      <c r="DB169" s="9"/>
      <c r="DE169" s="9"/>
      <c r="DH169" s="9"/>
      <c r="DK169" s="9"/>
      <c r="DN169" s="9"/>
      <c r="DQ169" s="9"/>
      <c r="DT169" s="9"/>
      <c r="DW169" s="9"/>
      <c r="DX169" s="8"/>
      <c r="DY169" s="8"/>
      <c r="DZ169" s="9"/>
      <c r="EA169" s="8"/>
      <c r="EC169" s="9"/>
      <c r="EF169" s="9"/>
      <c r="EI169" s="9"/>
      <c r="EL169" s="9"/>
      <c r="EO169" s="9"/>
      <c r="ER169" s="9"/>
      <c r="EU169" s="9"/>
      <c r="EX169" s="9"/>
      <c r="FA169" s="9"/>
      <c r="FD169" s="9"/>
      <c r="FG169" s="9"/>
      <c r="FJ169" s="9"/>
      <c r="FK169" s="8"/>
      <c r="FM169" s="9"/>
      <c r="FP169" s="9"/>
      <c r="FS169" s="9"/>
      <c r="FY169" s="9"/>
      <c r="GC169" s="8"/>
      <c r="GD169" s="8"/>
      <c r="GE169" s="9"/>
      <c r="GF169" s="8"/>
      <c r="GG169" s="8"/>
      <c r="GH169" s="9"/>
      <c r="GK169" s="9"/>
      <c r="GS169" s="8"/>
      <c r="GT169" s="8"/>
      <c r="HC169" s="9"/>
    </row>
    <row r="170" ht="15.75" customHeight="1">
      <c r="A170" s="1"/>
      <c r="D170" s="9"/>
      <c r="G170" s="9"/>
      <c r="J170" s="9"/>
      <c r="M170" s="9"/>
      <c r="P170" s="9"/>
      <c r="V170" s="9"/>
      <c r="Y170" s="9"/>
      <c r="AB170" s="9"/>
      <c r="AE170" s="9"/>
      <c r="AH170" s="9"/>
      <c r="AI170" s="10"/>
      <c r="AK170" s="9"/>
      <c r="AO170" s="23"/>
      <c r="AP170" s="23"/>
      <c r="AX170" s="24"/>
      <c r="AY170" s="24"/>
      <c r="BA170" s="8"/>
      <c r="BB170" s="8"/>
      <c r="BH170" s="23"/>
      <c r="BJ170" s="23"/>
      <c r="BK170" s="23"/>
      <c r="BM170" s="10"/>
      <c r="BN170" s="10"/>
      <c r="BP170" s="8"/>
      <c r="BQ170" s="8"/>
      <c r="BV170" s="23"/>
      <c r="BW170" s="23"/>
      <c r="BY170" s="8"/>
      <c r="BZ170" s="8"/>
      <c r="CA170" s="9"/>
      <c r="CB170" s="23"/>
      <c r="CC170" s="23"/>
      <c r="CD170" s="9"/>
      <c r="CG170" s="9"/>
      <c r="CJ170" s="9"/>
      <c r="CM170" s="9"/>
      <c r="CP170" s="9"/>
      <c r="CS170" s="9"/>
      <c r="CV170" s="9"/>
      <c r="CY170" s="9"/>
      <c r="DB170" s="9"/>
      <c r="DE170" s="9"/>
      <c r="DH170" s="9"/>
      <c r="DK170" s="9"/>
      <c r="DN170" s="9"/>
      <c r="DQ170" s="9"/>
      <c r="DT170" s="9"/>
      <c r="DW170" s="9"/>
      <c r="DX170" s="8"/>
      <c r="DY170" s="8"/>
      <c r="DZ170" s="9"/>
      <c r="EA170" s="8"/>
      <c r="EC170" s="9"/>
      <c r="EF170" s="9"/>
      <c r="EI170" s="9"/>
      <c r="EL170" s="9"/>
      <c r="EO170" s="9"/>
      <c r="ER170" s="9"/>
      <c r="EU170" s="9"/>
      <c r="EX170" s="9"/>
      <c r="FA170" s="9"/>
      <c r="FD170" s="9"/>
      <c r="FG170" s="9"/>
      <c r="FJ170" s="9"/>
      <c r="FK170" s="8"/>
      <c r="FM170" s="9"/>
      <c r="FP170" s="9"/>
      <c r="FS170" s="9"/>
      <c r="FY170" s="9"/>
      <c r="GC170" s="8"/>
      <c r="GD170" s="8"/>
      <c r="GE170" s="9"/>
      <c r="GF170" s="8"/>
      <c r="GG170" s="8"/>
      <c r="GH170" s="9"/>
      <c r="GK170" s="9"/>
      <c r="GS170" s="8"/>
      <c r="GT170" s="8"/>
      <c r="HC170" s="9"/>
    </row>
    <row r="171" ht="15.75" customHeight="1">
      <c r="A171" s="1"/>
      <c r="D171" s="9"/>
      <c r="G171" s="9"/>
      <c r="J171" s="9"/>
      <c r="M171" s="9"/>
      <c r="P171" s="9"/>
      <c r="V171" s="9"/>
      <c r="Y171" s="9"/>
      <c r="AB171" s="9"/>
      <c r="AE171" s="9"/>
      <c r="AH171" s="9"/>
      <c r="AI171" s="10"/>
      <c r="AK171" s="9"/>
      <c r="AO171" s="23"/>
      <c r="AP171" s="23"/>
      <c r="AX171" s="24"/>
      <c r="AY171" s="24"/>
      <c r="BA171" s="8"/>
      <c r="BB171" s="8"/>
      <c r="BH171" s="23"/>
      <c r="BJ171" s="23"/>
      <c r="BK171" s="23"/>
      <c r="BM171" s="10"/>
      <c r="BN171" s="10"/>
      <c r="BP171" s="8"/>
      <c r="BQ171" s="8"/>
      <c r="BV171" s="23"/>
      <c r="BW171" s="23"/>
      <c r="BY171" s="8"/>
      <c r="BZ171" s="8"/>
      <c r="CA171" s="9"/>
      <c r="CB171" s="23"/>
      <c r="CC171" s="23"/>
      <c r="CD171" s="9"/>
      <c r="CG171" s="9"/>
      <c r="CJ171" s="9"/>
      <c r="CM171" s="9"/>
      <c r="CP171" s="9"/>
      <c r="CS171" s="9"/>
      <c r="CV171" s="9"/>
      <c r="CY171" s="9"/>
      <c r="DB171" s="9"/>
      <c r="DE171" s="9"/>
      <c r="DH171" s="9"/>
      <c r="DK171" s="9"/>
      <c r="DN171" s="9"/>
      <c r="DQ171" s="9"/>
      <c r="DT171" s="9"/>
      <c r="DW171" s="9"/>
      <c r="DX171" s="8"/>
      <c r="DY171" s="8"/>
      <c r="DZ171" s="9"/>
      <c r="EA171" s="8"/>
      <c r="EC171" s="9"/>
      <c r="EF171" s="9"/>
      <c r="EI171" s="9"/>
      <c r="EL171" s="9"/>
      <c r="EO171" s="9"/>
      <c r="ER171" s="9"/>
      <c r="EU171" s="9"/>
      <c r="EX171" s="9"/>
      <c r="FA171" s="9"/>
      <c r="FD171" s="9"/>
      <c r="FG171" s="9"/>
      <c r="FJ171" s="9"/>
      <c r="FK171" s="8"/>
      <c r="FM171" s="9"/>
      <c r="FP171" s="9"/>
      <c r="FS171" s="9"/>
      <c r="FY171" s="9"/>
      <c r="GC171" s="8"/>
      <c r="GD171" s="8"/>
      <c r="GE171" s="9"/>
      <c r="GF171" s="8"/>
      <c r="GG171" s="8"/>
      <c r="GH171" s="9"/>
      <c r="GK171" s="9"/>
      <c r="GS171" s="8"/>
      <c r="GT171" s="8"/>
      <c r="HC171" s="9"/>
    </row>
    <row r="172" ht="15.75" customHeight="1">
      <c r="A172" s="1"/>
      <c r="D172" s="9"/>
      <c r="G172" s="9"/>
      <c r="J172" s="9"/>
      <c r="M172" s="9"/>
      <c r="P172" s="9"/>
      <c r="V172" s="9"/>
      <c r="Y172" s="9"/>
      <c r="AB172" s="9"/>
      <c r="AE172" s="9"/>
      <c r="AH172" s="9"/>
      <c r="AI172" s="10"/>
      <c r="AK172" s="9"/>
      <c r="AO172" s="23"/>
      <c r="AP172" s="23"/>
      <c r="AX172" s="24"/>
      <c r="AY172" s="24"/>
      <c r="BA172" s="8"/>
      <c r="BB172" s="8"/>
      <c r="BH172" s="23"/>
      <c r="BJ172" s="23"/>
      <c r="BK172" s="23"/>
      <c r="BM172" s="10"/>
      <c r="BN172" s="10"/>
      <c r="BP172" s="8"/>
      <c r="BQ172" s="8"/>
      <c r="BV172" s="23"/>
      <c r="BW172" s="23"/>
      <c r="BY172" s="8"/>
      <c r="BZ172" s="8"/>
      <c r="CA172" s="9"/>
      <c r="CB172" s="23"/>
      <c r="CC172" s="23"/>
      <c r="CD172" s="9"/>
      <c r="CG172" s="9"/>
      <c r="CJ172" s="9"/>
      <c r="CM172" s="9"/>
      <c r="CP172" s="9"/>
      <c r="CS172" s="9"/>
      <c r="CV172" s="9"/>
      <c r="CY172" s="9"/>
      <c r="DB172" s="9"/>
      <c r="DE172" s="9"/>
      <c r="DH172" s="9"/>
      <c r="DK172" s="9"/>
      <c r="DN172" s="9"/>
      <c r="DQ172" s="9"/>
      <c r="DT172" s="9"/>
      <c r="DW172" s="9"/>
      <c r="DX172" s="8"/>
      <c r="DY172" s="8"/>
      <c r="DZ172" s="9"/>
      <c r="EA172" s="8"/>
      <c r="EC172" s="9"/>
      <c r="EF172" s="9"/>
      <c r="EI172" s="9"/>
      <c r="EL172" s="9"/>
      <c r="EO172" s="9"/>
      <c r="ER172" s="9"/>
      <c r="EU172" s="9"/>
      <c r="EX172" s="9"/>
      <c r="FA172" s="9"/>
      <c r="FD172" s="9"/>
      <c r="FG172" s="9"/>
      <c r="FJ172" s="9"/>
      <c r="FK172" s="8"/>
      <c r="FM172" s="9"/>
      <c r="FP172" s="9"/>
      <c r="FS172" s="9"/>
      <c r="FY172" s="9"/>
      <c r="GC172" s="8"/>
      <c r="GD172" s="8"/>
      <c r="GE172" s="9"/>
      <c r="GF172" s="8"/>
      <c r="GG172" s="8"/>
      <c r="GH172" s="9"/>
      <c r="GK172" s="9"/>
      <c r="GS172" s="8"/>
      <c r="GT172" s="8"/>
      <c r="HC172" s="9"/>
    </row>
    <row r="173" ht="15.75" customHeight="1">
      <c r="A173" s="1"/>
      <c r="D173" s="9"/>
      <c r="G173" s="9"/>
      <c r="J173" s="9"/>
      <c r="M173" s="9"/>
      <c r="P173" s="9"/>
      <c r="V173" s="9"/>
      <c r="Y173" s="9"/>
      <c r="AB173" s="9"/>
      <c r="AE173" s="9"/>
      <c r="AH173" s="9"/>
      <c r="AI173" s="10"/>
      <c r="AK173" s="9"/>
      <c r="AO173" s="23"/>
      <c r="AP173" s="23"/>
      <c r="AX173" s="24"/>
      <c r="AY173" s="24"/>
      <c r="BA173" s="8"/>
      <c r="BB173" s="8"/>
      <c r="BH173" s="23"/>
      <c r="BJ173" s="23"/>
      <c r="BK173" s="23"/>
      <c r="BM173" s="10"/>
      <c r="BN173" s="10"/>
      <c r="BP173" s="8"/>
      <c r="BQ173" s="8"/>
      <c r="BV173" s="23"/>
      <c r="BW173" s="23"/>
      <c r="BY173" s="8"/>
      <c r="BZ173" s="8"/>
      <c r="CA173" s="9"/>
      <c r="CB173" s="23"/>
      <c r="CC173" s="23"/>
      <c r="CD173" s="9"/>
      <c r="CG173" s="9"/>
      <c r="CJ173" s="9"/>
      <c r="CM173" s="9"/>
      <c r="CP173" s="9"/>
      <c r="CS173" s="9"/>
      <c r="CV173" s="9"/>
      <c r="CY173" s="9"/>
      <c r="DB173" s="9"/>
      <c r="DE173" s="9"/>
      <c r="DH173" s="9"/>
      <c r="DK173" s="9"/>
      <c r="DN173" s="9"/>
      <c r="DQ173" s="9"/>
      <c r="DT173" s="9"/>
      <c r="DW173" s="9"/>
      <c r="DX173" s="8"/>
      <c r="DY173" s="8"/>
      <c r="DZ173" s="9"/>
      <c r="EA173" s="8"/>
      <c r="EC173" s="9"/>
      <c r="EF173" s="9"/>
      <c r="EI173" s="9"/>
      <c r="EL173" s="9"/>
      <c r="EO173" s="9"/>
      <c r="ER173" s="9"/>
      <c r="EU173" s="9"/>
      <c r="EX173" s="9"/>
      <c r="FA173" s="9"/>
      <c r="FD173" s="9"/>
      <c r="FG173" s="9"/>
      <c r="FJ173" s="9"/>
      <c r="FK173" s="8"/>
      <c r="FM173" s="9"/>
      <c r="FP173" s="9"/>
      <c r="FS173" s="9"/>
      <c r="FY173" s="9"/>
      <c r="GC173" s="8"/>
      <c r="GD173" s="8"/>
      <c r="GE173" s="9"/>
      <c r="GF173" s="8"/>
      <c r="GG173" s="8"/>
      <c r="GH173" s="9"/>
      <c r="GK173" s="9"/>
      <c r="GS173" s="8"/>
      <c r="GT173" s="8"/>
      <c r="HC173" s="9"/>
    </row>
    <row r="174" ht="15.75" customHeight="1">
      <c r="A174" s="1"/>
      <c r="D174" s="9"/>
      <c r="G174" s="9"/>
      <c r="J174" s="9"/>
      <c r="M174" s="9"/>
      <c r="P174" s="9"/>
      <c r="V174" s="9"/>
      <c r="Y174" s="9"/>
      <c r="AB174" s="9"/>
      <c r="AE174" s="9"/>
      <c r="AH174" s="9"/>
      <c r="AI174" s="10"/>
      <c r="AK174" s="9"/>
      <c r="AO174" s="23"/>
      <c r="AP174" s="23"/>
      <c r="AX174" s="24"/>
      <c r="AY174" s="24"/>
      <c r="BA174" s="8"/>
      <c r="BB174" s="8"/>
      <c r="BH174" s="23"/>
      <c r="BJ174" s="23"/>
      <c r="BK174" s="23"/>
      <c r="BM174" s="10"/>
      <c r="BN174" s="10"/>
      <c r="BP174" s="8"/>
      <c r="BQ174" s="8"/>
      <c r="BV174" s="23"/>
      <c r="BW174" s="23"/>
      <c r="BY174" s="8"/>
      <c r="BZ174" s="8"/>
      <c r="CA174" s="9"/>
      <c r="CB174" s="23"/>
      <c r="CC174" s="23"/>
      <c r="CD174" s="9"/>
      <c r="CG174" s="9"/>
      <c r="CJ174" s="9"/>
      <c r="CM174" s="9"/>
      <c r="CP174" s="9"/>
      <c r="CS174" s="9"/>
      <c r="CV174" s="9"/>
      <c r="CY174" s="9"/>
      <c r="DB174" s="9"/>
      <c r="DE174" s="9"/>
      <c r="DH174" s="9"/>
      <c r="DK174" s="9"/>
      <c r="DN174" s="9"/>
      <c r="DQ174" s="9"/>
      <c r="DT174" s="9"/>
      <c r="DW174" s="9"/>
      <c r="DX174" s="8"/>
      <c r="DY174" s="8"/>
      <c r="DZ174" s="9"/>
      <c r="EA174" s="8"/>
      <c r="EC174" s="9"/>
      <c r="EF174" s="9"/>
      <c r="EI174" s="9"/>
      <c r="EL174" s="9"/>
      <c r="EO174" s="9"/>
      <c r="ER174" s="9"/>
      <c r="EU174" s="9"/>
      <c r="EX174" s="9"/>
      <c r="FA174" s="9"/>
      <c r="FD174" s="9"/>
      <c r="FG174" s="9"/>
      <c r="FJ174" s="9"/>
      <c r="FK174" s="8"/>
      <c r="FM174" s="9"/>
      <c r="FP174" s="9"/>
      <c r="FS174" s="9"/>
      <c r="FY174" s="9"/>
      <c r="GC174" s="8"/>
      <c r="GD174" s="8"/>
      <c r="GE174" s="9"/>
      <c r="GF174" s="8"/>
      <c r="GG174" s="8"/>
      <c r="GH174" s="9"/>
      <c r="GK174" s="9"/>
      <c r="GS174" s="8"/>
      <c r="GT174" s="8"/>
      <c r="HC174" s="9"/>
    </row>
    <row r="175" ht="15.75" customHeight="1">
      <c r="A175" s="1"/>
      <c r="D175" s="9"/>
      <c r="G175" s="9"/>
      <c r="J175" s="9"/>
      <c r="M175" s="9"/>
      <c r="P175" s="9"/>
      <c r="V175" s="9"/>
      <c r="Y175" s="9"/>
      <c r="AB175" s="9"/>
      <c r="AE175" s="9"/>
      <c r="AH175" s="9"/>
      <c r="AI175" s="10"/>
      <c r="AK175" s="9"/>
      <c r="AO175" s="23"/>
      <c r="AP175" s="23"/>
      <c r="AX175" s="24"/>
      <c r="AY175" s="24"/>
      <c r="BA175" s="8"/>
      <c r="BB175" s="8"/>
      <c r="BH175" s="23"/>
      <c r="BJ175" s="23"/>
      <c r="BK175" s="23"/>
      <c r="BM175" s="10"/>
      <c r="BN175" s="10"/>
      <c r="BP175" s="8"/>
      <c r="BQ175" s="8"/>
      <c r="BV175" s="23"/>
      <c r="BW175" s="23"/>
      <c r="BY175" s="8"/>
      <c r="BZ175" s="8"/>
      <c r="CA175" s="9"/>
      <c r="CB175" s="23"/>
      <c r="CC175" s="23"/>
      <c r="CD175" s="9"/>
      <c r="CG175" s="9"/>
      <c r="CJ175" s="9"/>
      <c r="CM175" s="9"/>
      <c r="CP175" s="9"/>
      <c r="CS175" s="9"/>
      <c r="CV175" s="9"/>
      <c r="CY175" s="9"/>
      <c r="DB175" s="9"/>
      <c r="DE175" s="9"/>
      <c r="DH175" s="9"/>
      <c r="DK175" s="9"/>
      <c r="DN175" s="9"/>
      <c r="DQ175" s="9"/>
      <c r="DT175" s="9"/>
      <c r="DW175" s="9"/>
      <c r="DX175" s="8"/>
      <c r="DY175" s="8"/>
      <c r="DZ175" s="9"/>
      <c r="EA175" s="8"/>
      <c r="EC175" s="9"/>
      <c r="EF175" s="9"/>
      <c r="EI175" s="9"/>
      <c r="EL175" s="9"/>
      <c r="EO175" s="9"/>
      <c r="ER175" s="9"/>
      <c r="EU175" s="9"/>
      <c r="EX175" s="9"/>
      <c r="FA175" s="9"/>
      <c r="FD175" s="9"/>
      <c r="FG175" s="9"/>
      <c r="FJ175" s="9"/>
      <c r="FK175" s="8"/>
      <c r="FM175" s="9"/>
      <c r="FP175" s="9"/>
      <c r="FS175" s="9"/>
      <c r="FY175" s="9"/>
      <c r="GC175" s="8"/>
      <c r="GD175" s="8"/>
      <c r="GE175" s="9"/>
      <c r="GF175" s="8"/>
      <c r="GG175" s="8"/>
      <c r="GH175" s="9"/>
      <c r="GK175" s="9"/>
      <c r="GS175" s="8"/>
      <c r="GT175" s="8"/>
      <c r="HC175" s="9"/>
    </row>
    <row r="176" ht="15.75" customHeight="1">
      <c r="A176" s="1"/>
      <c r="D176" s="9"/>
      <c r="G176" s="9"/>
      <c r="J176" s="9"/>
      <c r="M176" s="9"/>
      <c r="P176" s="9"/>
      <c r="V176" s="9"/>
      <c r="Y176" s="9"/>
      <c r="AB176" s="9"/>
      <c r="AE176" s="9"/>
      <c r="AH176" s="9"/>
      <c r="AI176" s="10"/>
      <c r="AK176" s="9"/>
      <c r="AO176" s="23"/>
      <c r="AP176" s="23"/>
      <c r="AX176" s="24"/>
      <c r="AY176" s="24"/>
      <c r="BA176" s="8"/>
      <c r="BB176" s="8"/>
      <c r="BH176" s="23"/>
      <c r="BJ176" s="23"/>
      <c r="BK176" s="23"/>
      <c r="BM176" s="10"/>
      <c r="BN176" s="10"/>
      <c r="BP176" s="8"/>
      <c r="BQ176" s="8"/>
      <c r="BV176" s="23"/>
      <c r="BW176" s="23"/>
      <c r="BY176" s="8"/>
      <c r="BZ176" s="8"/>
      <c r="CA176" s="9"/>
      <c r="CB176" s="23"/>
      <c r="CC176" s="23"/>
      <c r="CD176" s="9"/>
      <c r="CG176" s="9"/>
      <c r="CJ176" s="9"/>
      <c r="CM176" s="9"/>
      <c r="CP176" s="9"/>
      <c r="CS176" s="9"/>
      <c r="CV176" s="9"/>
      <c r="CY176" s="9"/>
      <c r="DB176" s="9"/>
      <c r="DE176" s="9"/>
      <c r="DH176" s="9"/>
      <c r="DK176" s="9"/>
      <c r="DN176" s="9"/>
      <c r="DQ176" s="9"/>
      <c r="DT176" s="9"/>
      <c r="DW176" s="9"/>
      <c r="DX176" s="8"/>
      <c r="DY176" s="8"/>
      <c r="DZ176" s="9"/>
      <c r="EA176" s="8"/>
      <c r="EC176" s="9"/>
      <c r="EF176" s="9"/>
      <c r="EI176" s="9"/>
      <c r="EL176" s="9"/>
      <c r="EO176" s="9"/>
      <c r="ER176" s="9"/>
      <c r="EU176" s="9"/>
      <c r="EX176" s="9"/>
      <c r="FA176" s="9"/>
      <c r="FD176" s="9"/>
      <c r="FG176" s="9"/>
      <c r="FJ176" s="9"/>
      <c r="FK176" s="8"/>
      <c r="FM176" s="9"/>
      <c r="FP176" s="9"/>
      <c r="FS176" s="9"/>
      <c r="FY176" s="9"/>
      <c r="GC176" s="8"/>
      <c r="GD176" s="8"/>
      <c r="GE176" s="9"/>
      <c r="GF176" s="8"/>
      <c r="GG176" s="8"/>
      <c r="GH176" s="9"/>
      <c r="GK176" s="9"/>
      <c r="GS176" s="8"/>
      <c r="GT176" s="8"/>
      <c r="HC176" s="9"/>
    </row>
    <row r="177" ht="15.75" customHeight="1">
      <c r="A177" s="1"/>
      <c r="D177" s="9"/>
      <c r="G177" s="9"/>
      <c r="J177" s="9"/>
      <c r="M177" s="9"/>
      <c r="P177" s="9"/>
      <c r="V177" s="9"/>
      <c r="Y177" s="9"/>
      <c r="AB177" s="9"/>
      <c r="AE177" s="9"/>
      <c r="AH177" s="9"/>
      <c r="AI177" s="10"/>
      <c r="AK177" s="9"/>
      <c r="AO177" s="23"/>
      <c r="AP177" s="23"/>
      <c r="AX177" s="24"/>
      <c r="AY177" s="24"/>
      <c r="BA177" s="8"/>
      <c r="BB177" s="8"/>
      <c r="BH177" s="23"/>
      <c r="BJ177" s="23"/>
      <c r="BK177" s="23"/>
      <c r="BM177" s="10"/>
      <c r="BN177" s="10"/>
      <c r="BP177" s="8"/>
      <c r="BQ177" s="8"/>
      <c r="BV177" s="23"/>
      <c r="BW177" s="23"/>
      <c r="BY177" s="8"/>
      <c r="BZ177" s="8"/>
      <c r="CA177" s="9"/>
      <c r="CB177" s="23"/>
      <c r="CC177" s="23"/>
      <c r="CD177" s="9"/>
      <c r="CG177" s="9"/>
      <c r="CJ177" s="9"/>
      <c r="CM177" s="9"/>
      <c r="CP177" s="9"/>
      <c r="CS177" s="9"/>
      <c r="CV177" s="9"/>
      <c r="CY177" s="9"/>
      <c r="DB177" s="9"/>
      <c r="DE177" s="9"/>
      <c r="DH177" s="9"/>
      <c r="DK177" s="9"/>
      <c r="DN177" s="9"/>
      <c r="DQ177" s="9"/>
      <c r="DT177" s="9"/>
      <c r="DW177" s="9"/>
      <c r="DX177" s="8"/>
      <c r="DY177" s="8"/>
      <c r="DZ177" s="9"/>
      <c r="EA177" s="8"/>
      <c r="EC177" s="9"/>
      <c r="EF177" s="9"/>
      <c r="EI177" s="9"/>
      <c r="EL177" s="9"/>
      <c r="EO177" s="9"/>
      <c r="ER177" s="9"/>
      <c r="EU177" s="9"/>
      <c r="EX177" s="9"/>
      <c r="FA177" s="9"/>
      <c r="FD177" s="9"/>
      <c r="FG177" s="9"/>
      <c r="FJ177" s="9"/>
      <c r="FK177" s="8"/>
      <c r="FM177" s="9"/>
      <c r="FP177" s="9"/>
      <c r="FS177" s="9"/>
      <c r="FY177" s="9"/>
      <c r="GC177" s="8"/>
      <c r="GD177" s="8"/>
      <c r="GE177" s="9"/>
      <c r="GF177" s="8"/>
      <c r="GG177" s="8"/>
      <c r="GH177" s="9"/>
      <c r="GK177" s="9"/>
      <c r="GS177" s="8"/>
      <c r="GT177" s="8"/>
      <c r="HC177" s="9"/>
    </row>
    <row r="178" ht="15.75" customHeight="1">
      <c r="A178" s="1"/>
      <c r="D178" s="9"/>
      <c r="G178" s="9"/>
      <c r="J178" s="9"/>
      <c r="M178" s="9"/>
      <c r="P178" s="9"/>
      <c r="V178" s="9"/>
      <c r="Y178" s="9"/>
      <c r="AB178" s="9"/>
      <c r="AE178" s="9"/>
      <c r="AH178" s="9"/>
      <c r="AI178" s="10"/>
      <c r="AK178" s="9"/>
      <c r="AO178" s="23"/>
      <c r="AP178" s="23"/>
      <c r="AX178" s="24"/>
      <c r="AY178" s="24"/>
      <c r="BA178" s="8"/>
      <c r="BB178" s="8"/>
      <c r="BH178" s="23"/>
      <c r="BJ178" s="23"/>
      <c r="BK178" s="23"/>
      <c r="BM178" s="10"/>
      <c r="BN178" s="10"/>
      <c r="BP178" s="8"/>
      <c r="BQ178" s="8"/>
      <c r="BV178" s="23"/>
      <c r="BW178" s="23"/>
      <c r="BY178" s="8"/>
      <c r="BZ178" s="8"/>
      <c r="CA178" s="9"/>
      <c r="CB178" s="23"/>
      <c r="CC178" s="23"/>
      <c r="CD178" s="9"/>
      <c r="CG178" s="9"/>
      <c r="CJ178" s="9"/>
      <c r="CM178" s="9"/>
      <c r="CP178" s="9"/>
      <c r="CS178" s="9"/>
      <c r="CV178" s="9"/>
      <c r="CY178" s="9"/>
      <c r="DB178" s="9"/>
      <c r="DE178" s="9"/>
      <c r="DH178" s="9"/>
      <c r="DK178" s="9"/>
      <c r="DN178" s="9"/>
      <c r="DQ178" s="9"/>
      <c r="DT178" s="9"/>
      <c r="DW178" s="9"/>
      <c r="DX178" s="8"/>
      <c r="DY178" s="8"/>
      <c r="DZ178" s="9"/>
      <c r="EA178" s="8"/>
      <c r="EC178" s="9"/>
      <c r="EF178" s="9"/>
      <c r="EI178" s="9"/>
      <c r="EL178" s="9"/>
      <c r="EO178" s="9"/>
      <c r="ER178" s="9"/>
      <c r="EU178" s="9"/>
      <c r="EX178" s="9"/>
      <c r="FA178" s="9"/>
      <c r="FD178" s="9"/>
      <c r="FG178" s="9"/>
      <c r="FJ178" s="9"/>
      <c r="FK178" s="8"/>
      <c r="FM178" s="9"/>
      <c r="FP178" s="9"/>
      <c r="FS178" s="9"/>
      <c r="FY178" s="9"/>
      <c r="GC178" s="8"/>
      <c r="GD178" s="8"/>
      <c r="GE178" s="9"/>
      <c r="GF178" s="8"/>
      <c r="GG178" s="8"/>
      <c r="GH178" s="9"/>
      <c r="GK178" s="9"/>
      <c r="GS178" s="8"/>
      <c r="GT178" s="8"/>
      <c r="HC178" s="9"/>
    </row>
    <row r="179" ht="15.75" customHeight="1">
      <c r="A179" s="1"/>
      <c r="D179" s="9"/>
      <c r="G179" s="9"/>
      <c r="J179" s="9"/>
      <c r="M179" s="9"/>
      <c r="P179" s="9"/>
      <c r="V179" s="9"/>
      <c r="Y179" s="9"/>
      <c r="AB179" s="9"/>
      <c r="AE179" s="9"/>
      <c r="AH179" s="9"/>
      <c r="AI179" s="10"/>
      <c r="AK179" s="9"/>
      <c r="AO179" s="23"/>
      <c r="AP179" s="23"/>
      <c r="AX179" s="24"/>
      <c r="AY179" s="24"/>
      <c r="BA179" s="8"/>
      <c r="BB179" s="8"/>
      <c r="BH179" s="23"/>
      <c r="BJ179" s="23"/>
      <c r="BK179" s="23"/>
      <c r="BM179" s="10"/>
      <c r="BN179" s="10"/>
      <c r="BP179" s="8"/>
      <c r="BQ179" s="8"/>
      <c r="BV179" s="23"/>
      <c r="BW179" s="23"/>
      <c r="BY179" s="8"/>
      <c r="BZ179" s="8"/>
      <c r="CA179" s="9"/>
      <c r="CB179" s="23"/>
      <c r="CC179" s="23"/>
      <c r="CD179" s="9"/>
      <c r="CG179" s="9"/>
      <c r="CJ179" s="9"/>
      <c r="CM179" s="9"/>
      <c r="CP179" s="9"/>
      <c r="CS179" s="9"/>
      <c r="CV179" s="9"/>
      <c r="CY179" s="9"/>
      <c r="DB179" s="9"/>
      <c r="DE179" s="9"/>
      <c r="DH179" s="9"/>
      <c r="DK179" s="9"/>
      <c r="DN179" s="9"/>
      <c r="DQ179" s="9"/>
      <c r="DT179" s="9"/>
      <c r="DW179" s="9"/>
      <c r="DX179" s="8"/>
      <c r="DY179" s="8"/>
      <c r="DZ179" s="9"/>
      <c r="EA179" s="8"/>
      <c r="EC179" s="9"/>
      <c r="EF179" s="9"/>
      <c r="EI179" s="9"/>
      <c r="EL179" s="9"/>
      <c r="EO179" s="9"/>
      <c r="ER179" s="9"/>
      <c r="EU179" s="9"/>
      <c r="EX179" s="9"/>
      <c r="FA179" s="9"/>
      <c r="FD179" s="9"/>
      <c r="FG179" s="9"/>
      <c r="FJ179" s="9"/>
      <c r="FK179" s="8"/>
      <c r="FM179" s="9"/>
      <c r="FP179" s="9"/>
      <c r="FS179" s="9"/>
      <c r="FY179" s="9"/>
      <c r="GC179" s="8"/>
      <c r="GD179" s="8"/>
      <c r="GE179" s="9"/>
      <c r="GF179" s="8"/>
      <c r="GG179" s="8"/>
      <c r="GH179" s="9"/>
      <c r="GK179" s="9"/>
      <c r="GS179" s="8"/>
      <c r="GT179" s="8"/>
      <c r="HC179" s="9"/>
    </row>
    <row r="180" ht="15.75" customHeight="1">
      <c r="A180" s="1"/>
      <c r="D180" s="9"/>
      <c r="G180" s="9"/>
      <c r="J180" s="9"/>
      <c r="M180" s="9"/>
      <c r="P180" s="9"/>
      <c r="V180" s="9"/>
      <c r="Y180" s="9"/>
      <c r="AB180" s="9"/>
      <c r="AE180" s="9"/>
      <c r="AH180" s="9"/>
      <c r="AI180" s="10"/>
      <c r="AK180" s="9"/>
      <c r="AO180" s="23"/>
      <c r="AP180" s="23"/>
      <c r="AX180" s="24"/>
      <c r="AY180" s="24"/>
      <c r="BA180" s="8"/>
      <c r="BB180" s="8"/>
      <c r="BH180" s="23"/>
      <c r="BJ180" s="23"/>
      <c r="BK180" s="23"/>
      <c r="BM180" s="10"/>
      <c r="BN180" s="10"/>
      <c r="BP180" s="8"/>
      <c r="BQ180" s="8"/>
      <c r="BV180" s="23"/>
      <c r="BW180" s="23"/>
      <c r="BY180" s="8"/>
      <c r="BZ180" s="8"/>
      <c r="CA180" s="9"/>
      <c r="CB180" s="23"/>
      <c r="CC180" s="23"/>
      <c r="CD180" s="9"/>
      <c r="CG180" s="9"/>
      <c r="CJ180" s="9"/>
      <c r="CM180" s="9"/>
      <c r="CP180" s="9"/>
      <c r="CS180" s="9"/>
      <c r="CV180" s="9"/>
      <c r="CY180" s="9"/>
      <c r="DB180" s="9"/>
      <c r="DE180" s="9"/>
      <c r="DH180" s="9"/>
      <c r="DK180" s="9"/>
      <c r="DN180" s="9"/>
      <c r="DQ180" s="9"/>
      <c r="DT180" s="9"/>
      <c r="DW180" s="9"/>
      <c r="DX180" s="8"/>
      <c r="DY180" s="8"/>
      <c r="DZ180" s="9"/>
      <c r="EA180" s="8"/>
      <c r="EC180" s="9"/>
      <c r="EF180" s="9"/>
      <c r="EI180" s="9"/>
      <c r="EL180" s="9"/>
      <c r="EO180" s="9"/>
      <c r="ER180" s="9"/>
      <c r="EU180" s="9"/>
      <c r="EX180" s="9"/>
      <c r="FA180" s="9"/>
      <c r="FD180" s="9"/>
      <c r="FG180" s="9"/>
      <c r="FJ180" s="9"/>
      <c r="FK180" s="8"/>
      <c r="FM180" s="9"/>
      <c r="FP180" s="9"/>
      <c r="FS180" s="9"/>
      <c r="FY180" s="9"/>
      <c r="GC180" s="8"/>
      <c r="GD180" s="8"/>
      <c r="GE180" s="9"/>
      <c r="GF180" s="8"/>
      <c r="GG180" s="8"/>
      <c r="GH180" s="9"/>
      <c r="GK180" s="9"/>
      <c r="GS180" s="8"/>
      <c r="GT180" s="8"/>
      <c r="HC180" s="9"/>
    </row>
    <row r="181" ht="15.75" customHeight="1">
      <c r="A181" s="1"/>
      <c r="D181" s="9"/>
      <c r="G181" s="9"/>
      <c r="J181" s="9"/>
      <c r="M181" s="9"/>
      <c r="P181" s="9"/>
      <c r="V181" s="9"/>
      <c r="Y181" s="9"/>
      <c r="AB181" s="9"/>
      <c r="AE181" s="9"/>
      <c r="AH181" s="9"/>
      <c r="AI181" s="10"/>
      <c r="AK181" s="9"/>
      <c r="AO181" s="23"/>
      <c r="AP181" s="23"/>
      <c r="AX181" s="24"/>
      <c r="AY181" s="24"/>
      <c r="BA181" s="8"/>
      <c r="BB181" s="8"/>
      <c r="BH181" s="23"/>
      <c r="BJ181" s="23"/>
      <c r="BK181" s="23"/>
      <c r="BM181" s="10"/>
      <c r="BN181" s="10"/>
      <c r="BP181" s="8"/>
      <c r="BQ181" s="8"/>
      <c r="BV181" s="23"/>
      <c r="BW181" s="23"/>
      <c r="BY181" s="8"/>
      <c r="BZ181" s="8"/>
      <c r="CA181" s="9"/>
      <c r="CB181" s="23"/>
      <c r="CC181" s="23"/>
      <c r="CD181" s="9"/>
      <c r="CG181" s="9"/>
      <c r="CJ181" s="9"/>
      <c r="CM181" s="9"/>
      <c r="CP181" s="9"/>
      <c r="CS181" s="9"/>
      <c r="CV181" s="9"/>
      <c r="CY181" s="9"/>
      <c r="DB181" s="9"/>
      <c r="DE181" s="9"/>
      <c r="DH181" s="9"/>
      <c r="DK181" s="9"/>
      <c r="DN181" s="9"/>
      <c r="DQ181" s="9"/>
      <c r="DT181" s="9"/>
      <c r="DW181" s="9"/>
      <c r="DX181" s="8"/>
      <c r="DY181" s="8"/>
      <c r="DZ181" s="9"/>
      <c r="EA181" s="8"/>
      <c r="EC181" s="9"/>
      <c r="EF181" s="9"/>
      <c r="EI181" s="9"/>
      <c r="EL181" s="9"/>
      <c r="EO181" s="9"/>
      <c r="ER181" s="9"/>
      <c r="EU181" s="9"/>
      <c r="EX181" s="9"/>
      <c r="FA181" s="9"/>
      <c r="FD181" s="9"/>
      <c r="FG181" s="9"/>
      <c r="FJ181" s="9"/>
      <c r="FK181" s="8"/>
      <c r="FM181" s="9"/>
      <c r="FP181" s="9"/>
      <c r="FS181" s="9"/>
      <c r="FY181" s="9"/>
      <c r="GC181" s="8"/>
      <c r="GD181" s="8"/>
      <c r="GE181" s="9"/>
      <c r="GF181" s="8"/>
      <c r="GG181" s="8"/>
      <c r="GH181" s="9"/>
      <c r="GK181" s="9"/>
      <c r="GS181" s="8"/>
      <c r="GT181" s="8"/>
      <c r="HC181" s="9"/>
    </row>
    <row r="182" ht="15.75" customHeight="1">
      <c r="A182" s="1"/>
      <c r="D182" s="9"/>
      <c r="G182" s="9"/>
      <c r="J182" s="9"/>
      <c r="M182" s="9"/>
      <c r="P182" s="9"/>
      <c r="V182" s="9"/>
      <c r="Y182" s="9"/>
      <c r="AB182" s="9"/>
      <c r="AE182" s="9"/>
      <c r="AH182" s="9"/>
      <c r="AI182" s="10"/>
      <c r="AK182" s="9"/>
      <c r="AO182" s="23"/>
      <c r="AP182" s="23"/>
      <c r="AX182" s="24"/>
      <c r="AY182" s="24"/>
      <c r="BA182" s="8"/>
      <c r="BB182" s="8"/>
      <c r="BH182" s="23"/>
      <c r="BJ182" s="23"/>
      <c r="BK182" s="23"/>
      <c r="BM182" s="10"/>
      <c r="BN182" s="10"/>
      <c r="BP182" s="8"/>
      <c r="BQ182" s="8"/>
      <c r="BV182" s="23"/>
      <c r="BW182" s="23"/>
      <c r="BY182" s="8"/>
      <c r="BZ182" s="8"/>
      <c r="CA182" s="9"/>
      <c r="CB182" s="23"/>
      <c r="CC182" s="23"/>
      <c r="CD182" s="9"/>
      <c r="CG182" s="9"/>
      <c r="CJ182" s="9"/>
      <c r="CM182" s="9"/>
      <c r="CP182" s="9"/>
      <c r="CS182" s="9"/>
      <c r="CV182" s="9"/>
      <c r="CY182" s="9"/>
      <c r="DB182" s="9"/>
      <c r="DE182" s="9"/>
      <c r="DH182" s="9"/>
      <c r="DK182" s="9"/>
      <c r="DN182" s="9"/>
      <c r="DQ182" s="9"/>
      <c r="DT182" s="9"/>
      <c r="DW182" s="9"/>
      <c r="DX182" s="8"/>
      <c r="DY182" s="8"/>
      <c r="DZ182" s="9"/>
      <c r="EA182" s="8"/>
      <c r="EC182" s="9"/>
      <c r="EF182" s="9"/>
      <c r="EI182" s="9"/>
      <c r="EL182" s="9"/>
      <c r="EO182" s="9"/>
      <c r="ER182" s="9"/>
      <c r="EU182" s="9"/>
      <c r="EX182" s="9"/>
      <c r="FA182" s="9"/>
      <c r="FD182" s="9"/>
      <c r="FG182" s="9"/>
      <c r="FJ182" s="9"/>
      <c r="FK182" s="8"/>
      <c r="FM182" s="9"/>
      <c r="FP182" s="9"/>
      <c r="FS182" s="9"/>
      <c r="FY182" s="9"/>
      <c r="GC182" s="8"/>
      <c r="GD182" s="8"/>
      <c r="GE182" s="9"/>
      <c r="GF182" s="8"/>
      <c r="GG182" s="8"/>
      <c r="GH182" s="9"/>
      <c r="GK182" s="9"/>
      <c r="GS182" s="8"/>
      <c r="GT182" s="8"/>
      <c r="HC182" s="9"/>
    </row>
    <row r="183" ht="15.75" customHeight="1">
      <c r="A183" s="1"/>
      <c r="D183" s="9"/>
      <c r="G183" s="9"/>
      <c r="J183" s="9"/>
      <c r="M183" s="9"/>
      <c r="P183" s="9"/>
      <c r="V183" s="9"/>
      <c r="Y183" s="9"/>
      <c r="AB183" s="9"/>
      <c r="AE183" s="9"/>
      <c r="AH183" s="9"/>
      <c r="AI183" s="10"/>
      <c r="AK183" s="9"/>
      <c r="AO183" s="23"/>
      <c r="AP183" s="23"/>
      <c r="AX183" s="24"/>
      <c r="AY183" s="24"/>
      <c r="BA183" s="8"/>
      <c r="BB183" s="8"/>
      <c r="BH183" s="23"/>
      <c r="BJ183" s="23"/>
      <c r="BK183" s="23"/>
      <c r="BM183" s="10"/>
      <c r="BN183" s="10"/>
      <c r="BP183" s="8"/>
      <c r="BQ183" s="8"/>
      <c r="BV183" s="23"/>
      <c r="BW183" s="23"/>
      <c r="BY183" s="8"/>
      <c r="BZ183" s="8"/>
      <c r="CA183" s="9"/>
      <c r="CB183" s="23"/>
      <c r="CC183" s="23"/>
      <c r="CD183" s="9"/>
      <c r="CG183" s="9"/>
      <c r="CJ183" s="9"/>
      <c r="CM183" s="9"/>
      <c r="CP183" s="9"/>
      <c r="CS183" s="9"/>
      <c r="CV183" s="9"/>
      <c r="CY183" s="9"/>
      <c r="DB183" s="9"/>
      <c r="DE183" s="9"/>
      <c r="DH183" s="9"/>
      <c r="DK183" s="9"/>
      <c r="DN183" s="9"/>
      <c r="DQ183" s="9"/>
      <c r="DT183" s="9"/>
      <c r="DW183" s="9"/>
      <c r="DX183" s="8"/>
      <c r="DY183" s="8"/>
      <c r="DZ183" s="9"/>
      <c r="EA183" s="8"/>
      <c r="EC183" s="9"/>
      <c r="EF183" s="9"/>
      <c r="EI183" s="9"/>
      <c r="EL183" s="9"/>
      <c r="EO183" s="9"/>
      <c r="ER183" s="9"/>
      <c r="EU183" s="9"/>
      <c r="EX183" s="9"/>
      <c r="FA183" s="9"/>
      <c r="FD183" s="9"/>
      <c r="FG183" s="9"/>
      <c r="FJ183" s="9"/>
      <c r="FK183" s="8"/>
      <c r="FM183" s="9"/>
      <c r="FP183" s="9"/>
      <c r="FS183" s="9"/>
      <c r="FY183" s="9"/>
      <c r="GC183" s="8"/>
      <c r="GD183" s="8"/>
      <c r="GE183" s="9"/>
      <c r="GF183" s="8"/>
      <c r="GG183" s="8"/>
      <c r="GH183" s="9"/>
      <c r="GK183" s="9"/>
      <c r="GS183" s="8"/>
      <c r="GT183" s="8"/>
      <c r="HC183" s="9"/>
    </row>
    <row r="184" ht="15.75" customHeight="1">
      <c r="A184" s="1"/>
      <c r="D184" s="9"/>
      <c r="G184" s="9"/>
      <c r="J184" s="9"/>
      <c r="M184" s="9"/>
      <c r="P184" s="9"/>
      <c r="V184" s="9"/>
      <c r="Y184" s="9"/>
      <c r="AB184" s="9"/>
      <c r="AE184" s="9"/>
      <c r="AH184" s="9"/>
      <c r="AI184" s="10"/>
      <c r="AK184" s="9"/>
      <c r="AO184" s="23"/>
      <c r="AP184" s="23"/>
      <c r="AX184" s="24"/>
      <c r="AY184" s="24"/>
      <c r="BA184" s="8"/>
      <c r="BB184" s="8"/>
      <c r="BH184" s="23"/>
      <c r="BJ184" s="23"/>
      <c r="BK184" s="23"/>
      <c r="BM184" s="10"/>
      <c r="BN184" s="10"/>
      <c r="BP184" s="8"/>
      <c r="BQ184" s="8"/>
      <c r="BV184" s="23"/>
      <c r="BW184" s="23"/>
      <c r="BY184" s="8"/>
      <c r="BZ184" s="8"/>
      <c r="CA184" s="9"/>
      <c r="CB184" s="23"/>
      <c r="CC184" s="23"/>
      <c r="CD184" s="9"/>
      <c r="CG184" s="9"/>
      <c r="CJ184" s="9"/>
      <c r="CM184" s="9"/>
      <c r="CP184" s="9"/>
      <c r="CS184" s="9"/>
      <c r="CV184" s="9"/>
      <c r="CY184" s="9"/>
      <c r="DB184" s="9"/>
      <c r="DE184" s="9"/>
      <c r="DH184" s="9"/>
      <c r="DK184" s="9"/>
      <c r="DN184" s="9"/>
      <c r="DQ184" s="9"/>
      <c r="DT184" s="9"/>
      <c r="DW184" s="9"/>
      <c r="DX184" s="8"/>
      <c r="DY184" s="8"/>
      <c r="DZ184" s="9"/>
      <c r="EA184" s="8"/>
      <c r="EC184" s="9"/>
      <c r="EF184" s="9"/>
      <c r="EI184" s="9"/>
      <c r="EL184" s="9"/>
      <c r="EO184" s="9"/>
      <c r="ER184" s="9"/>
      <c r="EU184" s="9"/>
      <c r="EX184" s="9"/>
      <c r="FA184" s="9"/>
      <c r="FD184" s="9"/>
      <c r="FG184" s="9"/>
      <c r="FJ184" s="9"/>
      <c r="FK184" s="8"/>
      <c r="FM184" s="9"/>
      <c r="FP184" s="9"/>
      <c r="FS184" s="9"/>
      <c r="FY184" s="9"/>
      <c r="GC184" s="8"/>
      <c r="GD184" s="8"/>
      <c r="GE184" s="9"/>
      <c r="GF184" s="8"/>
      <c r="GG184" s="8"/>
      <c r="GH184" s="9"/>
      <c r="GK184" s="9"/>
      <c r="GS184" s="8"/>
      <c r="GT184" s="8"/>
      <c r="HC184" s="9"/>
    </row>
    <row r="185" ht="15.75" customHeight="1">
      <c r="A185" s="1"/>
      <c r="D185" s="9"/>
      <c r="G185" s="9"/>
      <c r="J185" s="9"/>
      <c r="M185" s="9"/>
      <c r="P185" s="9"/>
      <c r="V185" s="9"/>
      <c r="Y185" s="9"/>
      <c r="AB185" s="9"/>
      <c r="AE185" s="9"/>
      <c r="AH185" s="9"/>
      <c r="AI185" s="10"/>
      <c r="AK185" s="9"/>
      <c r="AO185" s="23"/>
      <c r="AP185" s="23"/>
      <c r="AX185" s="24"/>
      <c r="AY185" s="24"/>
      <c r="BA185" s="8"/>
      <c r="BB185" s="8"/>
      <c r="BH185" s="23"/>
      <c r="BJ185" s="23"/>
      <c r="BK185" s="23"/>
      <c r="BM185" s="10"/>
      <c r="BN185" s="10"/>
      <c r="BP185" s="8"/>
      <c r="BQ185" s="8"/>
      <c r="BV185" s="23"/>
      <c r="BW185" s="23"/>
      <c r="BY185" s="8"/>
      <c r="BZ185" s="8"/>
      <c r="CA185" s="9"/>
      <c r="CB185" s="23"/>
      <c r="CC185" s="23"/>
      <c r="CD185" s="9"/>
      <c r="CG185" s="9"/>
      <c r="CJ185" s="9"/>
      <c r="CM185" s="9"/>
      <c r="CP185" s="9"/>
      <c r="CS185" s="9"/>
      <c r="CV185" s="9"/>
      <c r="CY185" s="9"/>
      <c r="DB185" s="9"/>
      <c r="DE185" s="9"/>
      <c r="DH185" s="9"/>
      <c r="DK185" s="9"/>
      <c r="DN185" s="9"/>
      <c r="DQ185" s="9"/>
      <c r="DT185" s="9"/>
      <c r="DW185" s="9"/>
      <c r="DX185" s="8"/>
      <c r="DY185" s="8"/>
      <c r="DZ185" s="9"/>
      <c r="EA185" s="8"/>
      <c r="EC185" s="9"/>
      <c r="EF185" s="9"/>
      <c r="EI185" s="9"/>
      <c r="EL185" s="9"/>
      <c r="EO185" s="9"/>
      <c r="ER185" s="9"/>
      <c r="EU185" s="9"/>
      <c r="EX185" s="9"/>
      <c r="FA185" s="9"/>
      <c r="FD185" s="9"/>
      <c r="FG185" s="9"/>
      <c r="FJ185" s="9"/>
      <c r="FK185" s="8"/>
      <c r="FM185" s="9"/>
      <c r="FP185" s="9"/>
      <c r="FS185" s="9"/>
      <c r="FY185" s="9"/>
      <c r="GC185" s="8"/>
      <c r="GD185" s="8"/>
      <c r="GE185" s="9"/>
      <c r="GF185" s="8"/>
      <c r="GG185" s="8"/>
      <c r="GH185" s="9"/>
      <c r="GK185" s="9"/>
      <c r="GS185" s="8"/>
      <c r="GT185" s="8"/>
      <c r="HC185" s="9"/>
    </row>
    <row r="186" ht="15.75" customHeight="1">
      <c r="A186" s="1"/>
      <c r="D186" s="9"/>
      <c r="G186" s="9"/>
      <c r="J186" s="9"/>
      <c r="M186" s="9"/>
      <c r="P186" s="9"/>
      <c r="V186" s="9"/>
      <c r="Y186" s="9"/>
      <c r="AB186" s="9"/>
      <c r="AE186" s="9"/>
      <c r="AH186" s="9"/>
      <c r="AI186" s="10"/>
      <c r="AK186" s="9"/>
      <c r="AO186" s="23"/>
      <c r="AP186" s="23"/>
      <c r="AX186" s="24"/>
      <c r="AY186" s="24"/>
      <c r="BA186" s="8"/>
      <c r="BB186" s="8"/>
      <c r="BH186" s="23"/>
      <c r="BJ186" s="23"/>
      <c r="BK186" s="23"/>
      <c r="BM186" s="10"/>
      <c r="BN186" s="10"/>
      <c r="BP186" s="8"/>
      <c r="BQ186" s="8"/>
      <c r="BV186" s="23"/>
      <c r="BW186" s="23"/>
      <c r="BY186" s="8"/>
      <c r="BZ186" s="8"/>
      <c r="CA186" s="9"/>
      <c r="CB186" s="23"/>
      <c r="CC186" s="23"/>
      <c r="CD186" s="9"/>
      <c r="CG186" s="9"/>
      <c r="CJ186" s="9"/>
      <c r="CM186" s="9"/>
      <c r="CP186" s="9"/>
      <c r="CS186" s="9"/>
      <c r="CV186" s="9"/>
      <c r="CY186" s="9"/>
      <c r="DB186" s="9"/>
      <c r="DE186" s="9"/>
      <c r="DH186" s="9"/>
      <c r="DK186" s="9"/>
      <c r="DN186" s="9"/>
      <c r="DQ186" s="9"/>
      <c r="DT186" s="9"/>
      <c r="DW186" s="9"/>
      <c r="DX186" s="8"/>
      <c r="DY186" s="8"/>
      <c r="DZ186" s="9"/>
      <c r="EA186" s="8"/>
      <c r="EC186" s="9"/>
      <c r="EF186" s="9"/>
      <c r="EI186" s="9"/>
      <c r="EL186" s="9"/>
      <c r="EO186" s="9"/>
      <c r="ER186" s="9"/>
      <c r="EU186" s="9"/>
      <c r="EX186" s="9"/>
      <c r="FA186" s="9"/>
      <c r="FD186" s="9"/>
      <c r="FG186" s="9"/>
      <c r="FJ186" s="9"/>
      <c r="FK186" s="8"/>
      <c r="FM186" s="9"/>
      <c r="FP186" s="9"/>
      <c r="FS186" s="9"/>
      <c r="FY186" s="9"/>
      <c r="GC186" s="8"/>
      <c r="GD186" s="8"/>
      <c r="GE186" s="9"/>
      <c r="GF186" s="8"/>
      <c r="GG186" s="8"/>
      <c r="GH186" s="9"/>
      <c r="GK186" s="9"/>
      <c r="GS186" s="8"/>
      <c r="GT186" s="8"/>
      <c r="HC186" s="9"/>
    </row>
    <row r="187" ht="15.75" customHeight="1">
      <c r="A187" s="1"/>
      <c r="D187" s="9"/>
      <c r="G187" s="9"/>
      <c r="J187" s="9"/>
      <c r="M187" s="9"/>
      <c r="P187" s="9"/>
      <c r="V187" s="9"/>
      <c r="Y187" s="9"/>
      <c r="AB187" s="9"/>
      <c r="AE187" s="9"/>
      <c r="AH187" s="9"/>
      <c r="AI187" s="10"/>
      <c r="AK187" s="9"/>
      <c r="AO187" s="23"/>
      <c r="AP187" s="23"/>
      <c r="AX187" s="24"/>
      <c r="AY187" s="24"/>
      <c r="BA187" s="8"/>
      <c r="BB187" s="8"/>
      <c r="BH187" s="23"/>
      <c r="BJ187" s="23"/>
      <c r="BK187" s="23"/>
      <c r="BM187" s="10"/>
      <c r="BN187" s="10"/>
      <c r="BP187" s="8"/>
      <c r="BQ187" s="8"/>
      <c r="BV187" s="23"/>
      <c r="BW187" s="23"/>
      <c r="BY187" s="8"/>
      <c r="BZ187" s="8"/>
      <c r="CA187" s="9"/>
      <c r="CB187" s="23"/>
      <c r="CC187" s="23"/>
      <c r="CD187" s="9"/>
      <c r="CG187" s="9"/>
      <c r="CJ187" s="9"/>
      <c r="CM187" s="9"/>
      <c r="CP187" s="9"/>
      <c r="CS187" s="9"/>
      <c r="CV187" s="9"/>
      <c r="CY187" s="9"/>
      <c r="DB187" s="9"/>
      <c r="DE187" s="9"/>
      <c r="DH187" s="9"/>
      <c r="DK187" s="9"/>
      <c r="DN187" s="9"/>
      <c r="DQ187" s="9"/>
      <c r="DT187" s="9"/>
      <c r="DW187" s="9"/>
      <c r="DX187" s="8"/>
      <c r="DY187" s="8"/>
      <c r="DZ187" s="9"/>
      <c r="EA187" s="8"/>
      <c r="EC187" s="9"/>
      <c r="EF187" s="9"/>
      <c r="EI187" s="9"/>
      <c r="EL187" s="9"/>
      <c r="EO187" s="9"/>
      <c r="ER187" s="9"/>
      <c r="EU187" s="9"/>
      <c r="EX187" s="9"/>
      <c r="FA187" s="9"/>
      <c r="FD187" s="9"/>
      <c r="FG187" s="9"/>
      <c r="FJ187" s="9"/>
      <c r="FK187" s="8"/>
      <c r="FM187" s="9"/>
      <c r="FP187" s="9"/>
      <c r="FS187" s="9"/>
      <c r="FY187" s="9"/>
      <c r="GC187" s="8"/>
      <c r="GD187" s="8"/>
      <c r="GE187" s="9"/>
      <c r="GF187" s="8"/>
      <c r="GG187" s="8"/>
      <c r="GH187" s="9"/>
      <c r="GK187" s="9"/>
      <c r="GS187" s="8"/>
      <c r="GT187" s="8"/>
      <c r="HC187" s="9"/>
    </row>
    <row r="188" ht="15.75" customHeight="1">
      <c r="A188" s="1"/>
      <c r="D188" s="9"/>
      <c r="G188" s="9"/>
      <c r="J188" s="9"/>
      <c r="M188" s="9"/>
      <c r="P188" s="9"/>
      <c r="V188" s="9"/>
      <c r="Y188" s="9"/>
      <c r="AB188" s="9"/>
      <c r="AE188" s="9"/>
      <c r="AH188" s="9"/>
      <c r="AI188" s="10"/>
      <c r="AK188" s="9"/>
      <c r="AO188" s="23"/>
      <c r="AP188" s="23"/>
      <c r="AX188" s="24"/>
      <c r="AY188" s="24"/>
      <c r="BA188" s="8"/>
      <c r="BB188" s="8"/>
      <c r="BH188" s="23"/>
      <c r="BJ188" s="23"/>
      <c r="BK188" s="23"/>
      <c r="BM188" s="10"/>
      <c r="BN188" s="10"/>
      <c r="BP188" s="8"/>
      <c r="BQ188" s="8"/>
      <c r="BV188" s="23"/>
      <c r="BW188" s="23"/>
      <c r="BY188" s="8"/>
      <c r="BZ188" s="8"/>
      <c r="CA188" s="9"/>
      <c r="CB188" s="23"/>
      <c r="CC188" s="23"/>
      <c r="CD188" s="9"/>
      <c r="CG188" s="9"/>
      <c r="CJ188" s="9"/>
      <c r="CM188" s="9"/>
      <c r="CP188" s="9"/>
      <c r="CS188" s="9"/>
      <c r="CV188" s="9"/>
      <c r="CY188" s="9"/>
      <c r="DB188" s="9"/>
      <c r="DE188" s="9"/>
      <c r="DH188" s="9"/>
      <c r="DK188" s="9"/>
      <c r="DN188" s="9"/>
      <c r="DQ188" s="9"/>
      <c r="DT188" s="9"/>
      <c r="DW188" s="9"/>
      <c r="DX188" s="8"/>
      <c r="DY188" s="8"/>
      <c r="DZ188" s="9"/>
      <c r="EA188" s="8"/>
      <c r="EC188" s="9"/>
      <c r="EF188" s="9"/>
      <c r="EI188" s="9"/>
      <c r="EL188" s="9"/>
      <c r="EO188" s="9"/>
      <c r="ER188" s="9"/>
      <c r="EU188" s="9"/>
      <c r="EX188" s="9"/>
      <c r="FA188" s="9"/>
      <c r="FD188" s="9"/>
      <c r="FG188" s="9"/>
      <c r="FJ188" s="9"/>
      <c r="FK188" s="8"/>
      <c r="FM188" s="9"/>
      <c r="FP188" s="9"/>
      <c r="FS188" s="9"/>
      <c r="FY188" s="9"/>
      <c r="GC188" s="8"/>
      <c r="GD188" s="8"/>
      <c r="GE188" s="9"/>
      <c r="GF188" s="8"/>
      <c r="GG188" s="8"/>
      <c r="GH188" s="9"/>
      <c r="GK188" s="9"/>
      <c r="GS188" s="8"/>
      <c r="GT188" s="8"/>
      <c r="HC188" s="9"/>
    </row>
    <row r="189" ht="15.75" customHeight="1">
      <c r="A189" s="1"/>
      <c r="D189" s="9"/>
      <c r="G189" s="9"/>
      <c r="J189" s="9"/>
      <c r="M189" s="9"/>
      <c r="P189" s="9"/>
      <c r="V189" s="9"/>
      <c r="Y189" s="9"/>
      <c r="AB189" s="9"/>
      <c r="AE189" s="9"/>
      <c r="AH189" s="9"/>
      <c r="AI189" s="10"/>
      <c r="AK189" s="9"/>
      <c r="AO189" s="23"/>
      <c r="AP189" s="23"/>
      <c r="AX189" s="24"/>
      <c r="AY189" s="24"/>
      <c r="BA189" s="8"/>
      <c r="BB189" s="8"/>
      <c r="BH189" s="23"/>
      <c r="BJ189" s="23"/>
      <c r="BK189" s="23"/>
      <c r="BM189" s="10"/>
      <c r="BN189" s="10"/>
      <c r="BP189" s="8"/>
      <c r="BQ189" s="8"/>
      <c r="BV189" s="23"/>
      <c r="BW189" s="23"/>
      <c r="BY189" s="8"/>
      <c r="BZ189" s="8"/>
      <c r="CA189" s="9"/>
      <c r="CB189" s="23"/>
      <c r="CC189" s="23"/>
      <c r="CD189" s="9"/>
      <c r="CG189" s="9"/>
      <c r="CJ189" s="9"/>
      <c r="CM189" s="9"/>
      <c r="CP189" s="9"/>
      <c r="CS189" s="9"/>
      <c r="CV189" s="9"/>
      <c r="CY189" s="9"/>
      <c r="DB189" s="9"/>
      <c r="DE189" s="9"/>
      <c r="DH189" s="9"/>
      <c r="DK189" s="9"/>
      <c r="DN189" s="9"/>
      <c r="DQ189" s="9"/>
      <c r="DT189" s="9"/>
      <c r="DW189" s="9"/>
      <c r="DX189" s="8"/>
      <c r="DY189" s="8"/>
      <c r="DZ189" s="9"/>
      <c r="EA189" s="8"/>
      <c r="EC189" s="9"/>
      <c r="EF189" s="9"/>
      <c r="EI189" s="9"/>
      <c r="EL189" s="9"/>
      <c r="EO189" s="9"/>
      <c r="ER189" s="9"/>
      <c r="EU189" s="9"/>
      <c r="EX189" s="9"/>
      <c r="FA189" s="9"/>
      <c r="FD189" s="9"/>
      <c r="FG189" s="9"/>
      <c r="FJ189" s="9"/>
      <c r="FK189" s="8"/>
      <c r="FM189" s="9"/>
      <c r="FP189" s="9"/>
      <c r="FS189" s="9"/>
      <c r="FY189" s="9"/>
      <c r="GC189" s="8"/>
      <c r="GD189" s="8"/>
      <c r="GE189" s="9"/>
      <c r="GF189" s="8"/>
      <c r="GG189" s="8"/>
      <c r="GH189" s="9"/>
      <c r="GK189" s="9"/>
      <c r="GS189" s="8"/>
      <c r="GT189" s="8"/>
      <c r="HC189" s="9"/>
    </row>
    <row r="190" ht="15.75" customHeight="1">
      <c r="A190" s="1"/>
      <c r="D190" s="9"/>
      <c r="G190" s="9"/>
      <c r="J190" s="9"/>
      <c r="M190" s="9"/>
      <c r="P190" s="9"/>
      <c r="V190" s="9"/>
      <c r="Y190" s="9"/>
      <c r="AB190" s="9"/>
      <c r="AE190" s="9"/>
      <c r="AH190" s="9"/>
      <c r="AI190" s="10"/>
      <c r="AK190" s="9"/>
      <c r="AO190" s="23"/>
      <c r="AP190" s="23"/>
      <c r="AX190" s="24"/>
      <c r="AY190" s="24"/>
      <c r="BA190" s="8"/>
      <c r="BB190" s="8"/>
      <c r="BH190" s="23"/>
      <c r="BJ190" s="23"/>
      <c r="BK190" s="23"/>
      <c r="BM190" s="10"/>
      <c r="BN190" s="10"/>
      <c r="BP190" s="8"/>
      <c r="BQ190" s="8"/>
      <c r="BV190" s="23"/>
      <c r="BW190" s="23"/>
      <c r="BY190" s="8"/>
      <c r="BZ190" s="8"/>
      <c r="CA190" s="9"/>
      <c r="CB190" s="23"/>
      <c r="CC190" s="23"/>
      <c r="CD190" s="9"/>
      <c r="CG190" s="9"/>
      <c r="CJ190" s="9"/>
      <c r="CM190" s="9"/>
      <c r="CP190" s="9"/>
      <c r="CS190" s="9"/>
      <c r="CV190" s="9"/>
      <c r="CY190" s="9"/>
      <c r="DB190" s="9"/>
      <c r="DE190" s="9"/>
      <c r="DH190" s="9"/>
      <c r="DK190" s="9"/>
      <c r="DN190" s="9"/>
      <c r="DQ190" s="9"/>
      <c r="DT190" s="9"/>
      <c r="DW190" s="9"/>
      <c r="DX190" s="8"/>
      <c r="DY190" s="8"/>
      <c r="DZ190" s="9"/>
      <c r="EA190" s="8"/>
      <c r="EC190" s="9"/>
      <c r="EF190" s="9"/>
      <c r="EI190" s="9"/>
      <c r="EL190" s="9"/>
      <c r="EO190" s="9"/>
      <c r="ER190" s="9"/>
      <c r="EU190" s="9"/>
      <c r="EX190" s="9"/>
      <c r="FA190" s="9"/>
      <c r="FD190" s="9"/>
      <c r="FG190" s="9"/>
      <c r="FJ190" s="9"/>
      <c r="FK190" s="8"/>
      <c r="FM190" s="9"/>
      <c r="FP190" s="9"/>
      <c r="FS190" s="9"/>
      <c r="FY190" s="9"/>
      <c r="GC190" s="8"/>
      <c r="GD190" s="8"/>
      <c r="GE190" s="9"/>
      <c r="GF190" s="8"/>
      <c r="GG190" s="8"/>
      <c r="GH190" s="9"/>
      <c r="GK190" s="9"/>
      <c r="GS190" s="8"/>
      <c r="GT190" s="8"/>
      <c r="HC190" s="9"/>
    </row>
    <row r="191" ht="15.75" customHeight="1">
      <c r="A191" s="1"/>
      <c r="D191" s="9"/>
      <c r="G191" s="9"/>
      <c r="J191" s="9"/>
      <c r="M191" s="9"/>
      <c r="P191" s="9"/>
      <c r="V191" s="9"/>
      <c r="Y191" s="9"/>
      <c r="AB191" s="9"/>
      <c r="AE191" s="9"/>
      <c r="AH191" s="9"/>
      <c r="AI191" s="10"/>
      <c r="AK191" s="9"/>
      <c r="AO191" s="23"/>
      <c r="AP191" s="23"/>
      <c r="AX191" s="24"/>
      <c r="AY191" s="24"/>
      <c r="BA191" s="8"/>
      <c r="BB191" s="8"/>
      <c r="BH191" s="23"/>
      <c r="BJ191" s="23"/>
      <c r="BK191" s="23"/>
      <c r="BM191" s="10"/>
      <c r="BN191" s="10"/>
      <c r="BP191" s="8"/>
      <c r="BQ191" s="8"/>
      <c r="BV191" s="23"/>
      <c r="BW191" s="23"/>
      <c r="BY191" s="8"/>
      <c r="BZ191" s="8"/>
      <c r="CA191" s="9"/>
      <c r="CB191" s="23"/>
      <c r="CC191" s="23"/>
      <c r="CD191" s="9"/>
      <c r="CG191" s="9"/>
      <c r="CJ191" s="9"/>
      <c r="CM191" s="9"/>
      <c r="CP191" s="9"/>
      <c r="CS191" s="9"/>
      <c r="CV191" s="9"/>
      <c r="CY191" s="9"/>
      <c r="DB191" s="9"/>
      <c r="DE191" s="9"/>
      <c r="DH191" s="9"/>
      <c r="DK191" s="9"/>
      <c r="DN191" s="9"/>
      <c r="DQ191" s="9"/>
      <c r="DT191" s="9"/>
      <c r="DW191" s="9"/>
      <c r="DX191" s="8"/>
      <c r="DY191" s="8"/>
      <c r="DZ191" s="9"/>
      <c r="EA191" s="8"/>
      <c r="EC191" s="9"/>
      <c r="EF191" s="9"/>
      <c r="EI191" s="9"/>
      <c r="EL191" s="9"/>
      <c r="EO191" s="9"/>
      <c r="ER191" s="9"/>
      <c r="EU191" s="9"/>
      <c r="EX191" s="9"/>
      <c r="FA191" s="9"/>
      <c r="FD191" s="9"/>
      <c r="FG191" s="9"/>
      <c r="FJ191" s="9"/>
      <c r="FK191" s="8"/>
      <c r="FM191" s="9"/>
      <c r="FP191" s="9"/>
      <c r="FS191" s="9"/>
      <c r="FY191" s="9"/>
      <c r="GC191" s="8"/>
      <c r="GD191" s="8"/>
      <c r="GE191" s="9"/>
      <c r="GF191" s="8"/>
      <c r="GG191" s="8"/>
      <c r="GH191" s="9"/>
      <c r="GK191" s="9"/>
      <c r="GS191" s="8"/>
      <c r="GT191" s="8"/>
      <c r="HC191" s="9"/>
    </row>
    <row r="192" ht="15.75" customHeight="1">
      <c r="A192" s="1"/>
      <c r="D192" s="9"/>
      <c r="G192" s="9"/>
      <c r="J192" s="9"/>
      <c r="M192" s="9"/>
      <c r="P192" s="9"/>
      <c r="V192" s="9"/>
      <c r="Y192" s="9"/>
      <c r="AB192" s="9"/>
      <c r="AE192" s="9"/>
      <c r="AH192" s="9"/>
      <c r="AI192" s="10"/>
      <c r="AK192" s="9"/>
      <c r="AO192" s="23"/>
      <c r="AP192" s="23"/>
      <c r="AX192" s="24"/>
      <c r="AY192" s="24"/>
      <c r="BA192" s="8"/>
      <c r="BB192" s="8"/>
      <c r="BH192" s="23"/>
      <c r="BJ192" s="23"/>
      <c r="BK192" s="23"/>
      <c r="BM192" s="10"/>
      <c r="BN192" s="10"/>
      <c r="BP192" s="8"/>
      <c r="BQ192" s="8"/>
      <c r="BV192" s="23"/>
      <c r="BW192" s="23"/>
      <c r="BY192" s="8"/>
      <c r="BZ192" s="8"/>
      <c r="CA192" s="9"/>
      <c r="CB192" s="23"/>
      <c r="CC192" s="23"/>
      <c r="CD192" s="9"/>
      <c r="CG192" s="9"/>
      <c r="CJ192" s="9"/>
      <c r="CM192" s="9"/>
      <c r="CP192" s="9"/>
      <c r="CS192" s="9"/>
      <c r="CV192" s="9"/>
      <c r="CY192" s="9"/>
      <c r="DB192" s="9"/>
      <c r="DE192" s="9"/>
      <c r="DH192" s="9"/>
      <c r="DK192" s="9"/>
      <c r="DN192" s="9"/>
      <c r="DQ192" s="9"/>
      <c r="DT192" s="9"/>
      <c r="DW192" s="9"/>
      <c r="DX192" s="8"/>
      <c r="DY192" s="8"/>
      <c r="DZ192" s="9"/>
      <c r="EA192" s="8"/>
      <c r="EC192" s="9"/>
      <c r="EF192" s="9"/>
      <c r="EI192" s="9"/>
      <c r="EL192" s="9"/>
      <c r="EO192" s="9"/>
      <c r="ER192" s="9"/>
      <c r="EU192" s="9"/>
      <c r="EX192" s="9"/>
      <c r="FA192" s="9"/>
      <c r="FD192" s="9"/>
      <c r="FG192" s="9"/>
      <c r="FJ192" s="9"/>
      <c r="FK192" s="8"/>
      <c r="FM192" s="9"/>
      <c r="FP192" s="9"/>
      <c r="FS192" s="9"/>
      <c r="FY192" s="9"/>
      <c r="GC192" s="8"/>
      <c r="GD192" s="8"/>
      <c r="GE192" s="9"/>
      <c r="GF192" s="8"/>
      <c r="GG192" s="8"/>
      <c r="GH192" s="9"/>
      <c r="GK192" s="9"/>
      <c r="GS192" s="8"/>
      <c r="GT192" s="8"/>
      <c r="HC192" s="9"/>
    </row>
    <row r="193" ht="15.75" customHeight="1">
      <c r="A193" s="1"/>
      <c r="D193" s="9"/>
      <c r="G193" s="9"/>
      <c r="J193" s="9"/>
      <c r="M193" s="9"/>
      <c r="P193" s="9"/>
      <c r="V193" s="9"/>
      <c r="Y193" s="9"/>
      <c r="AB193" s="9"/>
      <c r="AE193" s="9"/>
      <c r="AH193" s="9"/>
      <c r="AI193" s="10"/>
      <c r="AK193" s="9"/>
      <c r="AO193" s="23"/>
      <c r="AP193" s="23"/>
      <c r="AX193" s="24"/>
      <c r="AY193" s="24"/>
      <c r="BA193" s="8"/>
      <c r="BB193" s="8"/>
      <c r="BH193" s="23"/>
      <c r="BJ193" s="23"/>
      <c r="BK193" s="23"/>
      <c r="BM193" s="10"/>
      <c r="BN193" s="10"/>
      <c r="BP193" s="8"/>
      <c r="BQ193" s="8"/>
      <c r="BV193" s="23"/>
      <c r="BW193" s="23"/>
      <c r="BY193" s="8"/>
      <c r="BZ193" s="8"/>
      <c r="CA193" s="9"/>
      <c r="CB193" s="23"/>
      <c r="CC193" s="23"/>
      <c r="CD193" s="9"/>
      <c r="CG193" s="9"/>
      <c r="CJ193" s="9"/>
      <c r="CM193" s="9"/>
      <c r="CP193" s="9"/>
      <c r="CS193" s="9"/>
      <c r="CV193" s="9"/>
      <c r="CY193" s="9"/>
      <c r="DB193" s="9"/>
      <c r="DE193" s="9"/>
      <c r="DH193" s="9"/>
      <c r="DK193" s="9"/>
      <c r="DN193" s="9"/>
      <c r="DQ193" s="9"/>
      <c r="DT193" s="9"/>
      <c r="DW193" s="9"/>
      <c r="DX193" s="8"/>
      <c r="DY193" s="8"/>
      <c r="DZ193" s="9"/>
      <c r="EA193" s="8"/>
      <c r="EC193" s="9"/>
      <c r="EF193" s="9"/>
      <c r="EI193" s="9"/>
      <c r="EL193" s="9"/>
      <c r="EO193" s="9"/>
      <c r="ER193" s="9"/>
      <c r="EU193" s="9"/>
      <c r="EX193" s="9"/>
      <c r="FA193" s="9"/>
      <c r="FD193" s="9"/>
      <c r="FG193" s="9"/>
      <c r="FJ193" s="9"/>
      <c r="FK193" s="8"/>
      <c r="FM193" s="9"/>
      <c r="FP193" s="9"/>
      <c r="FS193" s="9"/>
      <c r="FY193" s="9"/>
      <c r="GC193" s="8"/>
      <c r="GD193" s="8"/>
      <c r="GE193" s="9"/>
      <c r="GF193" s="8"/>
      <c r="GG193" s="8"/>
      <c r="GH193" s="9"/>
      <c r="GK193" s="9"/>
      <c r="GS193" s="8"/>
      <c r="GT193" s="8"/>
      <c r="HC193" s="9"/>
    </row>
    <row r="194" ht="15.75" customHeight="1">
      <c r="A194" s="1"/>
      <c r="D194" s="9"/>
      <c r="G194" s="9"/>
      <c r="J194" s="9"/>
      <c r="M194" s="9"/>
      <c r="P194" s="9"/>
      <c r="V194" s="9"/>
      <c r="Y194" s="9"/>
      <c r="AB194" s="9"/>
      <c r="AE194" s="9"/>
      <c r="AH194" s="9"/>
      <c r="AI194" s="10"/>
      <c r="AK194" s="9"/>
      <c r="AO194" s="23"/>
      <c r="AP194" s="23"/>
      <c r="AX194" s="24"/>
      <c r="AY194" s="24"/>
      <c r="BA194" s="8"/>
      <c r="BB194" s="8"/>
      <c r="BH194" s="23"/>
      <c r="BJ194" s="23"/>
      <c r="BK194" s="23"/>
      <c r="BM194" s="10"/>
      <c r="BN194" s="10"/>
      <c r="BP194" s="8"/>
      <c r="BQ194" s="8"/>
      <c r="BV194" s="23"/>
      <c r="BW194" s="23"/>
      <c r="BY194" s="8"/>
      <c r="BZ194" s="8"/>
      <c r="CA194" s="9"/>
      <c r="CB194" s="23"/>
      <c r="CC194" s="23"/>
      <c r="CD194" s="9"/>
      <c r="CG194" s="9"/>
      <c r="CJ194" s="9"/>
      <c r="CM194" s="9"/>
      <c r="CP194" s="9"/>
      <c r="CS194" s="9"/>
      <c r="CV194" s="9"/>
      <c r="CY194" s="9"/>
      <c r="DB194" s="9"/>
      <c r="DE194" s="9"/>
      <c r="DH194" s="9"/>
      <c r="DK194" s="9"/>
      <c r="DN194" s="9"/>
      <c r="DQ194" s="9"/>
      <c r="DT194" s="9"/>
      <c r="DW194" s="9"/>
      <c r="DX194" s="8"/>
      <c r="DY194" s="8"/>
      <c r="DZ194" s="9"/>
      <c r="EA194" s="8"/>
      <c r="EC194" s="9"/>
      <c r="EF194" s="9"/>
      <c r="EI194" s="9"/>
      <c r="EL194" s="9"/>
      <c r="EO194" s="9"/>
      <c r="ER194" s="9"/>
      <c r="EU194" s="9"/>
      <c r="EX194" s="9"/>
      <c r="FA194" s="9"/>
      <c r="FD194" s="9"/>
      <c r="FG194" s="9"/>
      <c r="FJ194" s="9"/>
      <c r="FK194" s="8"/>
      <c r="FM194" s="9"/>
      <c r="FP194" s="9"/>
      <c r="FS194" s="9"/>
      <c r="FY194" s="9"/>
      <c r="GC194" s="8"/>
      <c r="GD194" s="8"/>
      <c r="GE194" s="9"/>
      <c r="GF194" s="8"/>
      <c r="GG194" s="8"/>
      <c r="GH194" s="9"/>
      <c r="GK194" s="9"/>
      <c r="GS194" s="8"/>
      <c r="GT194" s="8"/>
      <c r="HC194" s="9"/>
    </row>
    <row r="195" ht="15.75" customHeight="1">
      <c r="A195" s="1"/>
      <c r="D195" s="9"/>
      <c r="G195" s="9"/>
      <c r="J195" s="9"/>
      <c r="M195" s="9"/>
      <c r="P195" s="9"/>
      <c r="V195" s="9"/>
      <c r="Y195" s="9"/>
      <c r="AB195" s="9"/>
      <c r="AE195" s="9"/>
      <c r="AH195" s="9"/>
      <c r="AI195" s="10"/>
      <c r="AK195" s="9"/>
      <c r="AO195" s="23"/>
      <c r="AP195" s="23"/>
      <c r="AX195" s="24"/>
      <c r="AY195" s="24"/>
      <c r="BA195" s="8"/>
      <c r="BB195" s="8"/>
      <c r="BH195" s="23"/>
      <c r="BJ195" s="23"/>
      <c r="BK195" s="23"/>
      <c r="BM195" s="10"/>
      <c r="BN195" s="10"/>
      <c r="BP195" s="8"/>
      <c r="BQ195" s="8"/>
      <c r="BV195" s="23"/>
      <c r="BW195" s="23"/>
      <c r="BY195" s="8"/>
      <c r="BZ195" s="8"/>
      <c r="CA195" s="9"/>
      <c r="CB195" s="23"/>
      <c r="CC195" s="23"/>
      <c r="CD195" s="9"/>
      <c r="CG195" s="9"/>
      <c r="CJ195" s="9"/>
      <c r="CM195" s="9"/>
      <c r="CP195" s="9"/>
      <c r="CS195" s="9"/>
      <c r="CV195" s="9"/>
      <c r="CY195" s="9"/>
      <c r="DB195" s="9"/>
      <c r="DE195" s="9"/>
      <c r="DH195" s="9"/>
      <c r="DK195" s="9"/>
      <c r="DN195" s="9"/>
      <c r="DQ195" s="9"/>
      <c r="DT195" s="9"/>
      <c r="DW195" s="9"/>
      <c r="DX195" s="8"/>
      <c r="DY195" s="8"/>
      <c r="DZ195" s="9"/>
      <c r="EA195" s="8"/>
      <c r="EC195" s="9"/>
      <c r="EF195" s="9"/>
      <c r="EI195" s="9"/>
      <c r="EL195" s="9"/>
      <c r="EO195" s="9"/>
      <c r="ER195" s="9"/>
      <c r="EU195" s="9"/>
      <c r="EX195" s="9"/>
      <c r="FA195" s="9"/>
      <c r="FD195" s="9"/>
      <c r="FG195" s="9"/>
      <c r="FJ195" s="9"/>
      <c r="FK195" s="8"/>
      <c r="FM195" s="9"/>
      <c r="FP195" s="9"/>
      <c r="FS195" s="9"/>
      <c r="FY195" s="9"/>
      <c r="GC195" s="8"/>
      <c r="GD195" s="8"/>
      <c r="GE195" s="9"/>
      <c r="GF195" s="8"/>
      <c r="GG195" s="8"/>
      <c r="GH195" s="9"/>
      <c r="GK195" s="9"/>
      <c r="GS195" s="8"/>
      <c r="GT195" s="8"/>
      <c r="HC195" s="9"/>
    </row>
    <row r="196" ht="15.75" customHeight="1">
      <c r="A196" s="1"/>
      <c r="D196" s="9"/>
      <c r="G196" s="9"/>
      <c r="J196" s="9"/>
      <c r="M196" s="9"/>
      <c r="P196" s="9"/>
      <c r="V196" s="9"/>
      <c r="Y196" s="9"/>
      <c r="AB196" s="9"/>
      <c r="AE196" s="9"/>
      <c r="AH196" s="9"/>
      <c r="AI196" s="10"/>
      <c r="AK196" s="9"/>
      <c r="AO196" s="23"/>
      <c r="AP196" s="23"/>
      <c r="AX196" s="24"/>
      <c r="AY196" s="24"/>
      <c r="BA196" s="8"/>
      <c r="BB196" s="8"/>
      <c r="BH196" s="23"/>
      <c r="BJ196" s="23"/>
      <c r="BK196" s="23"/>
      <c r="BM196" s="10"/>
      <c r="BN196" s="10"/>
      <c r="BP196" s="8"/>
      <c r="BQ196" s="8"/>
      <c r="BV196" s="23"/>
      <c r="BW196" s="23"/>
      <c r="BY196" s="8"/>
      <c r="BZ196" s="8"/>
      <c r="CA196" s="9"/>
      <c r="CB196" s="23"/>
      <c r="CC196" s="23"/>
      <c r="CD196" s="9"/>
      <c r="CG196" s="9"/>
      <c r="CJ196" s="9"/>
      <c r="CM196" s="9"/>
      <c r="CP196" s="9"/>
      <c r="CS196" s="9"/>
      <c r="CV196" s="9"/>
      <c r="CY196" s="9"/>
      <c r="DB196" s="9"/>
      <c r="DE196" s="9"/>
      <c r="DH196" s="9"/>
      <c r="DK196" s="9"/>
      <c r="DN196" s="9"/>
      <c r="DQ196" s="9"/>
      <c r="DT196" s="9"/>
      <c r="DW196" s="9"/>
      <c r="DX196" s="8"/>
      <c r="DY196" s="8"/>
      <c r="DZ196" s="9"/>
      <c r="EA196" s="8"/>
      <c r="EC196" s="9"/>
      <c r="EF196" s="9"/>
      <c r="EI196" s="9"/>
      <c r="EL196" s="9"/>
      <c r="EO196" s="9"/>
      <c r="ER196" s="9"/>
      <c r="EU196" s="9"/>
      <c r="EX196" s="9"/>
      <c r="FA196" s="9"/>
      <c r="FD196" s="9"/>
      <c r="FG196" s="9"/>
      <c r="FJ196" s="9"/>
      <c r="FK196" s="8"/>
      <c r="FM196" s="9"/>
      <c r="FP196" s="9"/>
      <c r="FS196" s="9"/>
      <c r="FY196" s="9"/>
      <c r="GC196" s="8"/>
      <c r="GD196" s="8"/>
      <c r="GE196" s="9"/>
      <c r="GF196" s="8"/>
      <c r="GG196" s="8"/>
      <c r="GH196" s="9"/>
      <c r="GK196" s="9"/>
      <c r="GS196" s="8"/>
      <c r="GT196" s="8"/>
      <c r="HC196" s="9"/>
    </row>
    <row r="197" ht="15.75" customHeight="1">
      <c r="A197" s="1"/>
      <c r="D197" s="9"/>
      <c r="G197" s="9"/>
      <c r="J197" s="9"/>
      <c r="M197" s="9"/>
      <c r="P197" s="9"/>
      <c r="V197" s="9"/>
      <c r="Y197" s="9"/>
      <c r="AB197" s="9"/>
      <c r="AE197" s="9"/>
      <c r="AH197" s="9"/>
      <c r="AI197" s="10"/>
      <c r="AK197" s="9"/>
      <c r="AO197" s="23"/>
      <c r="AP197" s="23"/>
      <c r="AX197" s="24"/>
      <c r="AY197" s="24"/>
      <c r="BA197" s="8"/>
      <c r="BB197" s="8"/>
      <c r="BH197" s="23"/>
      <c r="BJ197" s="23"/>
      <c r="BK197" s="23"/>
      <c r="BM197" s="10"/>
      <c r="BN197" s="10"/>
      <c r="BP197" s="8"/>
      <c r="BQ197" s="8"/>
      <c r="BV197" s="23"/>
      <c r="BW197" s="23"/>
      <c r="BY197" s="8"/>
      <c r="BZ197" s="8"/>
      <c r="CA197" s="9"/>
      <c r="CB197" s="23"/>
      <c r="CC197" s="23"/>
      <c r="CD197" s="9"/>
      <c r="CG197" s="9"/>
      <c r="CJ197" s="9"/>
      <c r="CM197" s="9"/>
      <c r="CP197" s="9"/>
      <c r="CS197" s="9"/>
      <c r="CV197" s="9"/>
      <c r="CY197" s="9"/>
      <c r="DB197" s="9"/>
      <c r="DE197" s="9"/>
      <c r="DH197" s="9"/>
      <c r="DK197" s="9"/>
      <c r="DN197" s="9"/>
      <c r="DQ197" s="9"/>
      <c r="DT197" s="9"/>
      <c r="DW197" s="9"/>
      <c r="DX197" s="8"/>
      <c r="DY197" s="8"/>
      <c r="DZ197" s="9"/>
      <c r="EA197" s="8"/>
      <c r="EC197" s="9"/>
      <c r="EF197" s="9"/>
      <c r="EI197" s="9"/>
      <c r="EL197" s="9"/>
      <c r="EO197" s="9"/>
      <c r="ER197" s="9"/>
      <c r="EU197" s="9"/>
      <c r="EX197" s="9"/>
      <c r="FA197" s="9"/>
      <c r="FD197" s="9"/>
      <c r="FG197" s="9"/>
      <c r="FJ197" s="9"/>
      <c r="FK197" s="8"/>
      <c r="FM197" s="9"/>
      <c r="FP197" s="9"/>
      <c r="FS197" s="9"/>
      <c r="FY197" s="9"/>
      <c r="GC197" s="8"/>
      <c r="GD197" s="8"/>
      <c r="GE197" s="9"/>
      <c r="GF197" s="8"/>
      <c r="GG197" s="8"/>
      <c r="GH197" s="9"/>
      <c r="GK197" s="9"/>
      <c r="GS197" s="8"/>
      <c r="GT197" s="8"/>
      <c r="HC197" s="9"/>
    </row>
    <row r="198" ht="15.75" customHeight="1">
      <c r="A198" s="1"/>
      <c r="D198" s="9"/>
      <c r="G198" s="9"/>
      <c r="J198" s="9"/>
      <c r="M198" s="9"/>
      <c r="P198" s="9"/>
      <c r="V198" s="9"/>
      <c r="Y198" s="9"/>
      <c r="AB198" s="9"/>
      <c r="AE198" s="9"/>
      <c r="AH198" s="9"/>
      <c r="AI198" s="10"/>
      <c r="AK198" s="9"/>
      <c r="AO198" s="23"/>
      <c r="AP198" s="23"/>
      <c r="AX198" s="24"/>
      <c r="AY198" s="24"/>
      <c r="BA198" s="8"/>
      <c r="BB198" s="8"/>
      <c r="BH198" s="23"/>
      <c r="BJ198" s="23"/>
      <c r="BK198" s="23"/>
      <c r="BM198" s="10"/>
      <c r="BN198" s="10"/>
      <c r="BP198" s="8"/>
      <c r="BQ198" s="8"/>
      <c r="BV198" s="23"/>
      <c r="BW198" s="23"/>
      <c r="BY198" s="8"/>
      <c r="BZ198" s="8"/>
      <c r="CA198" s="9"/>
      <c r="CB198" s="23"/>
      <c r="CC198" s="23"/>
      <c r="CD198" s="9"/>
      <c r="CG198" s="9"/>
      <c r="CJ198" s="9"/>
      <c r="CM198" s="9"/>
      <c r="CP198" s="9"/>
      <c r="CS198" s="9"/>
      <c r="CV198" s="9"/>
      <c r="CY198" s="9"/>
      <c r="DB198" s="9"/>
      <c r="DE198" s="9"/>
      <c r="DH198" s="9"/>
      <c r="DK198" s="9"/>
      <c r="DN198" s="9"/>
      <c r="DQ198" s="9"/>
      <c r="DT198" s="9"/>
      <c r="DW198" s="9"/>
      <c r="DX198" s="8"/>
      <c r="DY198" s="8"/>
      <c r="DZ198" s="9"/>
      <c r="EA198" s="8"/>
      <c r="EC198" s="9"/>
      <c r="EF198" s="9"/>
      <c r="EI198" s="9"/>
      <c r="EL198" s="9"/>
      <c r="EO198" s="9"/>
      <c r="ER198" s="9"/>
      <c r="EU198" s="9"/>
      <c r="EX198" s="9"/>
      <c r="FA198" s="9"/>
      <c r="FD198" s="9"/>
      <c r="FG198" s="9"/>
      <c r="FJ198" s="9"/>
      <c r="FK198" s="8"/>
      <c r="FM198" s="9"/>
      <c r="FP198" s="9"/>
      <c r="FS198" s="9"/>
      <c r="FY198" s="9"/>
      <c r="GC198" s="8"/>
      <c r="GD198" s="8"/>
      <c r="GE198" s="9"/>
      <c r="GF198" s="8"/>
      <c r="GG198" s="8"/>
      <c r="GH198" s="9"/>
      <c r="GK198" s="9"/>
      <c r="GS198" s="8"/>
      <c r="GT198" s="8"/>
      <c r="HC198" s="9"/>
    </row>
    <row r="199" ht="15.75" customHeight="1">
      <c r="A199" s="1"/>
      <c r="D199" s="9"/>
      <c r="G199" s="9"/>
      <c r="J199" s="9"/>
      <c r="M199" s="9"/>
      <c r="P199" s="9"/>
      <c r="V199" s="9"/>
      <c r="Y199" s="9"/>
      <c r="AB199" s="9"/>
      <c r="AE199" s="9"/>
      <c r="AH199" s="9"/>
      <c r="AI199" s="10"/>
      <c r="AK199" s="9"/>
      <c r="AO199" s="23"/>
      <c r="AP199" s="23"/>
      <c r="AX199" s="24"/>
      <c r="AY199" s="24"/>
      <c r="BA199" s="8"/>
      <c r="BB199" s="8"/>
      <c r="BH199" s="23"/>
      <c r="BJ199" s="23"/>
      <c r="BK199" s="23"/>
      <c r="BM199" s="10"/>
      <c r="BN199" s="10"/>
      <c r="BP199" s="8"/>
      <c r="BQ199" s="8"/>
      <c r="BV199" s="23"/>
      <c r="BW199" s="23"/>
      <c r="BY199" s="8"/>
      <c r="BZ199" s="8"/>
      <c r="CA199" s="9"/>
      <c r="CB199" s="23"/>
      <c r="CC199" s="23"/>
      <c r="CD199" s="9"/>
      <c r="CG199" s="9"/>
      <c r="CJ199" s="9"/>
      <c r="CM199" s="9"/>
      <c r="CP199" s="9"/>
      <c r="CS199" s="9"/>
      <c r="CV199" s="9"/>
      <c r="CY199" s="9"/>
      <c r="DB199" s="9"/>
      <c r="DE199" s="9"/>
      <c r="DH199" s="9"/>
      <c r="DK199" s="9"/>
      <c r="DN199" s="9"/>
      <c r="DQ199" s="9"/>
      <c r="DT199" s="9"/>
      <c r="DW199" s="9"/>
      <c r="DX199" s="8"/>
      <c r="DY199" s="8"/>
      <c r="DZ199" s="9"/>
      <c r="EA199" s="8"/>
      <c r="EC199" s="9"/>
      <c r="EF199" s="9"/>
      <c r="EI199" s="9"/>
      <c r="EL199" s="9"/>
      <c r="EO199" s="9"/>
      <c r="ER199" s="9"/>
      <c r="EU199" s="9"/>
      <c r="EX199" s="9"/>
      <c r="FA199" s="9"/>
      <c r="FD199" s="9"/>
      <c r="FG199" s="9"/>
      <c r="FJ199" s="9"/>
      <c r="FK199" s="8"/>
      <c r="FM199" s="9"/>
      <c r="FP199" s="9"/>
      <c r="FS199" s="9"/>
      <c r="FY199" s="9"/>
      <c r="GC199" s="8"/>
      <c r="GD199" s="8"/>
      <c r="GE199" s="9"/>
      <c r="GF199" s="8"/>
      <c r="GG199" s="8"/>
      <c r="GH199" s="9"/>
      <c r="GK199" s="9"/>
      <c r="GS199" s="8"/>
      <c r="GT199" s="8"/>
      <c r="HC199" s="9"/>
    </row>
    <row r="200" ht="15.75" customHeight="1">
      <c r="A200" s="1"/>
      <c r="D200" s="9"/>
      <c r="G200" s="9"/>
      <c r="J200" s="9"/>
      <c r="M200" s="9"/>
      <c r="P200" s="9"/>
      <c r="V200" s="9"/>
      <c r="Y200" s="9"/>
      <c r="AB200" s="9"/>
      <c r="AE200" s="9"/>
      <c r="AH200" s="9"/>
      <c r="AI200" s="10"/>
      <c r="AK200" s="9"/>
      <c r="AO200" s="23"/>
      <c r="AP200" s="23"/>
      <c r="AX200" s="24"/>
      <c r="AY200" s="24"/>
      <c r="BA200" s="8"/>
      <c r="BB200" s="8"/>
      <c r="BH200" s="23"/>
      <c r="BJ200" s="23"/>
      <c r="BK200" s="23"/>
      <c r="BM200" s="10"/>
      <c r="BN200" s="10"/>
      <c r="BP200" s="8"/>
      <c r="BQ200" s="8"/>
      <c r="BV200" s="23"/>
      <c r="BW200" s="23"/>
      <c r="BY200" s="8"/>
      <c r="BZ200" s="8"/>
      <c r="CA200" s="9"/>
      <c r="CB200" s="23"/>
      <c r="CC200" s="23"/>
      <c r="CD200" s="9"/>
      <c r="CG200" s="9"/>
      <c r="CJ200" s="9"/>
      <c r="CM200" s="9"/>
      <c r="CP200" s="9"/>
      <c r="CS200" s="9"/>
      <c r="CV200" s="9"/>
      <c r="CY200" s="9"/>
      <c r="DB200" s="9"/>
      <c r="DE200" s="9"/>
      <c r="DH200" s="9"/>
      <c r="DK200" s="9"/>
      <c r="DN200" s="9"/>
      <c r="DQ200" s="9"/>
      <c r="DT200" s="9"/>
      <c r="DW200" s="9"/>
      <c r="DX200" s="8"/>
      <c r="DY200" s="8"/>
      <c r="DZ200" s="9"/>
      <c r="EA200" s="8"/>
      <c r="EC200" s="9"/>
      <c r="EF200" s="9"/>
      <c r="EI200" s="9"/>
      <c r="EL200" s="9"/>
      <c r="EO200" s="9"/>
      <c r="ER200" s="9"/>
      <c r="EU200" s="9"/>
      <c r="EX200" s="9"/>
      <c r="FA200" s="9"/>
      <c r="FD200" s="9"/>
      <c r="FG200" s="9"/>
      <c r="FJ200" s="9"/>
      <c r="FK200" s="8"/>
      <c r="FM200" s="9"/>
      <c r="FP200" s="9"/>
      <c r="FS200" s="9"/>
      <c r="FY200" s="9"/>
      <c r="GC200" s="8"/>
      <c r="GD200" s="8"/>
      <c r="GE200" s="9"/>
      <c r="GF200" s="8"/>
      <c r="GG200" s="8"/>
      <c r="GH200" s="9"/>
      <c r="GK200" s="9"/>
      <c r="GS200" s="8"/>
      <c r="GT200" s="8"/>
      <c r="HC200" s="9"/>
    </row>
    <row r="201" ht="15.75" customHeight="1">
      <c r="A201" s="1"/>
      <c r="D201" s="9"/>
      <c r="G201" s="9"/>
      <c r="J201" s="9"/>
      <c r="M201" s="9"/>
      <c r="P201" s="9"/>
      <c r="V201" s="9"/>
      <c r="Y201" s="9"/>
      <c r="AB201" s="9"/>
      <c r="AE201" s="9"/>
      <c r="AH201" s="9"/>
      <c r="AI201" s="10"/>
      <c r="AK201" s="9"/>
      <c r="AO201" s="23"/>
      <c r="AP201" s="23"/>
      <c r="AX201" s="24"/>
      <c r="AY201" s="24"/>
      <c r="BA201" s="8"/>
      <c r="BB201" s="8"/>
      <c r="BH201" s="23"/>
      <c r="BJ201" s="23"/>
      <c r="BK201" s="23"/>
      <c r="BM201" s="10"/>
      <c r="BN201" s="10"/>
      <c r="BP201" s="8"/>
      <c r="BQ201" s="8"/>
      <c r="BV201" s="23"/>
      <c r="BW201" s="23"/>
      <c r="BY201" s="8"/>
      <c r="BZ201" s="8"/>
      <c r="CA201" s="9"/>
      <c r="CB201" s="23"/>
      <c r="CC201" s="23"/>
      <c r="CD201" s="9"/>
      <c r="CG201" s="9"/>
      <c r="CJ201" s="9"/>
      <c r="CM201" s="9"/>
      <c r="CP201" s="9"/>
      <c r="CS201" s="9"/>
      <c r="CV201" s="9"/>
      <c r="CY201" s="9"/>
      <c r="DB201" s="9"/>
      <c r="DE201" s="9"/>
      <c r="DH201" s="9"/>
      <c r="DK201" s="9"/>
      <c r="DN201" s="9"/>
      <c r="DQ201" s="9"/>
      <c r="DT201" s="9"/>
      <c r="DW201" s="9"/>
      <c r="DX201" s="8"/>
      <c r="DY201" s="8"/>
      <c r="DZ201" s="9"/>
      <c r="EA201" s="8"/>
      <c r="EC201" s="9"/>
      <c r="EF201" s="9"/>
      <c r="EI201" s="9"/>
      <c r="EL201" s="9"/>
      <c r="EO201" s="9"/>
      <c r="ER201" s="9"/>
      <c r="EU201" s="9"/>
      <c r="EX201" s="9"/>
      <c r="FA201" s="9"/>
      <c r="FD201" s="9"/>
      <c r="FG201" s="9"/>
      <c r="FJ201" s="9"/>
      <c r="FK201" s="8"/>
      <c r="FM201" s="9"/>
      <c r="FP201" s="9"/>
      <c r="FS201" s="9"/>
      <c r="FY201" s="9"/>
      <c r="GC201" s="8"/>
      <c r="GD201" s="8"/>
      <c r="GE201" s="9"/>
      <c r="GF201" s="8"/>
      <c r="GG201" s="8"/>
      <c r="GH201" s="9"/>
      <c r="GK201" s="9"/>
      <c r="GS201" s="8"/>
      <c r="GT201" s="8"/>
      <c r="HC201" s="9"/>
    </row>
    <row r="202" ht="15.75" customHeight="1">
      <c r="A202" s="1"/>
      <c r="D202" s="9"/>
      <c r="G202" s="9"/>
      <c r="J202" s="9"/>
      <c r="M202" s="9"/>
      <c r="P202" s="9"/>
      <c r="V202" s="9"/>
      <c r="Y202" s="9"/>
      <c r="AB202" s="9"/>
      <c r="AE202" s="9"/>
      <c r="AH202" s="9"/>
      <c r="AI202" s="10"/>
      <c r="AK202" s="9"/>
      <c r="AO202" s="23"/>
      <c r="AP202" s="23"/>
      <c r="AX202" s="24"/>
      <c r="AY202" s="24"/>
      <c r="BA202" s="8"/>
      <c r="BB202" s="8"/>
      <c r="BH202" s="23"/>
      <c r="BJ202" s="23"/>
      <c r="BK202" s="23"/>
      <c r="BM202" s="10"/>
      <c r="BN202" s="10"/>
      <c r="BP202" s="8"/>
      <c r="BQ202" s="8"/>
      <c r="BV202" s="23"/>
      <c r="BW202" s="23"/>
      <c r="BY202" s="8"/>
      <c r="BZ202" s="8"/>
      <c r="CA202" s="9"/>
      <c r="CB202" s="23"/>
      <c r="CC202" s="23"/>
      <c r="CD202" s="9"/>
      <c r="CG202" s="9"/>
      <c r="CJ202" s="9"/>
      <c r="CM202" s="9"/>
      <c r="CP202" s="9"/>
      <c r="CS202" s="9"/>
      <c r="CV202" s="9"/>
      <c r="CY202" s="9"/>
      <c r="DB202" s="9"/>
      <c r="DE202" s="9"/>
      <c r="DH202" s="9"/>
      <c r="DK202" s="9"/>
      <c r="DN202" s="9"/>
      <c r="DQ202" s="9"/>
      <c r="DT202" s="9"/>
      <c r="DW202" s="9"/>
      <c r="DX202" s="8"/>
      <c r="DY202" s="8"/>
      <c r="DZ202" s="9"/>
      <c r="EA202" s="8"/>
      <c r="EC202" s="9"/>
      <c r="EF202" s="9"/>
      <c r="EI202" s="9"/>
      <c r="EL202" s="9"/>
      <c r="EO202" s="9"/>
      <c r="ER202" s="9"/>
      <c r="EU202" s="9"/>
      <c r="EX202" s="9"/>
      <c r="FA202" s="9"/>
      <c r="FD202" s="9"/>
      <c r="FG202" s="9"/>
      <c r="FJ202" s="9"/>
      <c r="FK202" s="8"/>
      <c r="FM202" s="9"/>
      <c r="FP202" s="9"/>
      <c r="FS202" s="9"/>
      <c r="FY202" s="9"/>
      <c r="GC202" s="8"/>
      <c r="GD202" s="8"/>
      <c r="GE202" s="9"/>
      <c r="GF202" s="8"/>
      <c r="GG202" s="8"/>
      <c r="GH202" s="9"/>
      <c r="GK202" s="9"/>
      <c r="GS202" s="8"/>
      <c r="GT202" s="8"/>
      <c r="HC202" s="9"/>
    </row>
    <row r="203" ht="15.75" customHeight="1">
      <c r="A203" s="1"/>
      <c r="D203" s="9"/>
      <c r="G203" s="9"/>
      <c r="J203" s="9"/>
      <c r="M203" s="9"/>
      <c r="P203" s="9"/>
      <c r="V203" s="9"/>
      <c r="Y203" s="9"/>
      <c r="AB203" s="9"/>
      <c r="AE203" s="9"/>
      <c r="AH203" s="9"/>
      <c r="AI203" s="10"/>
      <c r="AK203" s="9"/>
      <c r="AO203" s="23"/>
      <c r="AP203" s="23"/>
      <c r="AX203" s="24"/>
      <c r="AY203" s="24"/>
      <c r="BA203" s="8"/>
      <c r="BB203" s="8"/>
      <c r="BH203" s="23"/>
      <c r="BJ203" s="23"/>
      <c r="BK203" s="23"/>
      <c r="BM203" s="10"/>
      <c r="BN203" s="10"/>
      <c r="BP203" s="8"/>
      <c r="BQ203" s="8"/>
      <c r="BV203" s="23"/>
      <c r="BW203" s="23"/>
      <c r="BY203" s="8"/>
      <c r="BZ203" s="8"/>
      <c r="CA203" s="9"/>
      <c r="CB203" s="23"/>
      <c r="CC203" s="23"/>
      <c r="CD203" s="9"/>
      <c r="CG203" s="9"/>
      <c r="CJ203" s="9"/>
      <c r="CM203" s="9"/>
      <c r="CP203" s="9"/>
      <c r="CS203" s="9"/>
      <c r="CV203" s="9"/>
      <c r="CY203" s="9"/>
      <c r="DB203" s="9"/>
      <c r="DE203" s="9"/>
      <c r="DH203" s="9"/>
      <c r="DK203" s="9"/>
      <c r="DN203" s="9"/>
      <c r="DQ203" s="9"/>
      <c r="DT203" s="9"/>
      <c r="DW203" s="9"/>
      <c r="DX203" s="8"/>
      <c r="DY203" s="8"/>
      <c r="DZ203" s="9"/>
      <c r="EA203" s="8"/>
      <c r="EC203" s="9"/>
      <c r="EF203" s="9"/>
      <c r="EI203" s="9"/>
      <c r="EL203" s="9"/>
      <c r="EO203" s="9"/>
      <c r="ER203" s="9"/>
      <c r="EU203" s="9"/>
      <c r="EX203" s="9"/>
      <c r="FA203" s="9"/>
      <c r="FD203" s="9"/>
      <c r="FG203" s="9"/>
      <c r="FJ203" s="9"/>
      <c r="FK203" s="8"/>
      <c r="FM203" s="9"/>
      <c r="FP203" s="9"/>
      <c r="FS203" s="9"/>
      <c r="FY203" s="9"/>
      <c r="GC203" s="8"/>
      <c r="GD203" s="8"/>
      <c r="GE203" s="9"/>
      <c r="GF203" s="8"/>
      <c r="GG203" s="8"/>
      <c r="GH203" s="9"/>
      <c r="GK203" s="9"/>
      <c r="GS203" s="8"/>
      <c r="GT203" s="8"/>
      <c r="HC203" s="9"/>
    </row>
    <row r="204" ht="15.75" customHeight="1">
      <c r="A204" s="1"/>
      <c r="D204" s="9"/>
      <c r="G204" s="9"/>
      <c r="J204" s="9"/>
      <c r="M204" s="9"/>
      <c r="P204" s="9"/>
      <c r="V204" s="9"/>
      <c r="Y204" s="9"/>
      <c r="AB204" s="9"/>
      <c r="AE204" s="9"/>
      <c r="AH204" s="9"/>
      <c r="AI204" s="10"/>
      <c r="AK204" s="9"/>
      <c r="AO204" s="23"/>
      <c r="AP204" s="23"/>
      <c r="AX204" s="24"/>
      <c r="AY204" s="24"/>
      <c r="BA204" s="8"/>
      <c r="BB204" s="8"/>
      <c r="BH204" s="23"/>
      <c r="BJ204" s="23"/>
      <c r="BK204" s="23"/>
      <c r="BM204" s="10"/>
      <c r="BN204" s="10"/>
      <c r="BP204" s="8"/>
      <c r="BQ204" s="8"/>
      <c r="BV204" s="23"/>
      <c r="BW204" s="23"/>
      <c r="BY204" s="8"/>
      <c r="BZ204" s="8"/>
      <c r="CA204" s="9"/>
      <c r="CB204" s="23"/>
      <c r="CC204" s="23"/>
      <c r="CD204" s="9"/>
      <c r="CG204" s="9"/>
      <c r="CJ204" s="9"/>
      <c r="CM204" s="9"/>
      <c r="CP204" s="9"/>
      <c r="CS204" s="9"/>
      <c r="CV204" s="9"/>
      <c r="CY204" s="9"/>
      <c r="DB204" s="9"/>
      <c r="DE204" s="9"/>
      <c r="DH204" s="9"/>
      <c r="DK204" s="9"/>
      <c r="DN204" s="9"/>
      <c r="DQ204" s="9"/>
      <c r="DT204" s="9"/>
      <c r="DW204" s="9"/>
      <c r="DX204" s="8"/>
      <c r="DY204" s="8"/>
      <c r="DZ204" s="9"/>
      <c r="EA204" s="8"/>
      <c r="EC204" s="9"/>
      <c r="EF204" s="9"/>
      <c r="EI204" s="9"/>
      <c r="EL204" s="9"/>
      <c r="EO204" s="9"/>
      <c r="ER204" s="9"/>
      <c r="EU204" s="9"/>
      <c r="EX204" s="9"/>
      <c r="FA204" s="9"/>
      <c r="FD204" s="9"/>
      <c r="FG204" s="9"/>
      <c r="FJ204" s="9"/>
      <c r="FK204" s="8"/>
      <c r="FM204" s="9"/>
      <c r="FP204" s="9"/>
      <c r="FS204" s="9"/>
      <c r="FY204" s="9"/>
      <c r="GC204" s="8"/>
      <c r="GD204" s="8"/>
      <c r="GE204" s="9"/>
      <c r="GF204" s="8"/>
      <c r="GG204" s="8"/>
      <c r="GH204" s="9"/>
      <c r="GK204" s="9"/>
      <c r="GS204" s="8"/>
      <c r="GT204" s="8"/>
      <c r="HC204" s="9"/>
    </row>
    <row r="205" ht="15.75" customHeight="1">
      <c r="A205" s="1"/>
      <c r="D205" s="9"/>
      <c r="G205" s="9"/>
      <c r="J205" s="9"/>
      <c r="M205" s="9"/>
      <c r="P205" s="9"/>
      <c r="V205" s="9"/>
      <c r="Y205" s="9"/>
      <c r="AB205" s="9"/>
      <c r="AE205" s="9"/>
      <c r="AH205" s="9"/>
      <c r="AI205" s="10"/>
      <c r="AK205" s="9"/>
      <c r="AO205" s="23"/>
      <c r="AP205" s="23"/>
      <c r="AX205" s="24"/>
      <c r="AY205" s="24"/>
      <c r="BA205" s="8"/>
      <c r="BB205" s="8"/>
      <c r="BH205" s="23"/>
      <c r="BJ205" s="23"/>
      <c r="BK205" s="23"/>
      <c r="BM205" s="10"/>
      <c r="BN205" s="10"/>
      <c r="BP205" s="8"/>
      <c r="BQ205" s="8"/>
      <c r="BV205" s="23"/>
      <c r="BW205" s="23"/>
      <c r="BY205" s="8"/>
      <c r="BZ205" s="8"/>
      <c r="CA205" s="9"/>
      <c r="CB205" s="23"/>
      <c r="CC205" s="23"/>
      <c r="CD205" s="9"/>
      <c r="CG205" s="9"/>
      <c r="CJ205" s="9"/>
      <c r="CM205" s="9"/>
      <c r="CP205" s="9"/>
      <c r="CS205" s="9"/>
      <c r="CV205" s="9"/>
      <c r="CY205" s="9"/>
      <c r="DB205" s="9"/>
      <c r="DE205" s="9"/>
      <c r="DH205" s="9"/>
      <c r="DK205" s="9"/>
      <c r="DN205" s="9"/>
      <c r="DQ205" s="9"/>
      <c r="DT205" s="9"/>
      <c r="DW205" s="9"/>
      <c r="DX205" s="8"/>
      <c r="DY205" s="8"/>
      <c r="DZ205" s="9"/>
      <c r="EA205" s="8"/>
      <c r="EC205" s="9"/>
      <c r="EF205" s="9"/>
      <c r="EI205" s="9"/>
      <c r="EL205" s="9"/>
      <c r="EO205" s="9"/>
      <c r="ER205" s="9"/>
      <c r="EU205" s="9"/>
      <c r="EX205" s="9"/>
      <c r="FA205" s="9"/>
      <c r="FD205" s="9"/>
      <c r="FG205" s="9"/>
      <c r="FJ205" s="9"/>
      <c r="FK205" s="8"/>
      <c r="FM205" s="9"/>
      <c r="FP205" s="9"/>
      <c r="FS205" s="9"/>
      <c r="FY205" s="9"/>
      <c r="GC205" s="8"/>
      <c r="GD205" s="8"/>
      <c r="GE205" s="9"/>
      <c r="GF205" s="8"/>
      <c r="GG205" s="8"/>
      <c r="GH205" s="9"/>
      <c r="GK205" s="9"/>
      <c r="GS205" s="8"/>
      <c r="GT205" s="8"/>
      <c r="HC205" s="9"/>
    </row>
    <row r="206" ht="15.75" customHeight="1">
      <c r="A206" s="1"/>
      <c r="D206" s="9"/>
      <c r="G206" s="9"/>
      <c r="J206" s="9"/>
      <c r="M206" s="9"/>
      <c r="P206" s="9"/>
      <c r="V206" s="9"/>
      <c r="Y206" s="9"/>
      <c r="AB206" s="9"/>
      <c r="AE206" s="9"/>
      <c r="AH206" s="9"/>
      <c r="AI206" s="10"/>
      <c r="AK206" s="9"/>
      <c r="AO206" s="23"/>
      <c r="AP206" s="23"/>
      <c r="AX206" s="24"/>
      <c r="AY206" s="24"/>
      <c r="BA206" s="8"/>
      <c r="BB206" s="8"/>
      <c r="BH206" s="23"/>
      <c r="BJ206" s="23"/>
      <c r="BK206" s="23"/>
      <c r="BM206" s="10"/>
      <c r="BN206" s="10"/>
      <c r="BP206" s="8"/>
      <c r="BQ206" s="8"/>
      <c r="BV206" s="23"/>
      <c r="BW206" s="23"/>
      <c r="BY206" s="8"/>
      <c r="BZ206" s="8"/>
      <c r="CA206" s="9"/>
      <c r="CB206" s="23"/>
      <c r="CC206" s="23"/>
      <c r="CD206" s="9"/>
      <c r="CG206" s="9"/>
      <c r="CJ206" s="9"/>
      <c r="CM206" s="9"/>
      <c r="CP206" s="9"/>
      <c r="CS206" s="9"/>
      <c r="CV206" s="9"/>
      <c r="CY206" s="9"/>
      <c r="DB206" s="9"/>
      <c r="DE206" s="9"/>
      <c r="DH206" s="9"/>
      <c r="DK206" s="9"/>
      <c r="DN206" s="9"/>
      <c r="DQ206" s="9"/>
      <c r="DT206" s="9"/>
      <c r="DW206" s="9"/>
      <c r="DX206" s="8"/>
      <c r="DY206" s="8"/>
      <c r="DZ206" s="9"/>
      <c r="EA206" s="8"/>
      <c r="EC206" s="9"/>
      <c r="EF206" s="9"/>
      <c r="EI206" s="9"/>
      <c r="EL206" s="9"/>
      <c r="EO206" s="9"/>
      <c r="ER206" s="9"/>
      <c r="EU206" s="9"/>
      <c r="EX206" s="9"/>
      <c r="FA206" s="9"/>
      <c r="FD206" s="9"/>
      <c r="FG206" s="9"/>
      <c r="FJ206" s="9"/>
      <c r="FK206" s="8"/>
      <c r="FM206" s="9"/>
      <c r="FP206" s="9"/>
      <c r="FS206" s="9"/>
      <c r="FY206" s="9"/>
      <c r="GC206" s="8"/>
      <c r="GD206" s="8"/>
      <c r="GE206" s="9"/>
      <c r="GF206" s="8"/>
      <c r="GG206" s="8"/>
      <c r="GH206" s="9"/>
      <c r="GK206" s="9"/>
      <c r="GS206" s="8"/>
      <c r="GT206" s="8"/>
      <c r="HC206" s="9"/>
    </row>
    <row r="207" ht="15.75" customHeight="1">
      <c r="A207" s="1"/>
      <c r="D207" s="9"/>
      <c r="G207" s="9"/>
      <c r="J207" s="9"/>
      <c r="M207" s="9"/>
      <c r="P207" s="9"/>
      <c r="V207" s="9"/>
      <c r="Y207" s="9"/>
      <c r="AB207" s="9"/>
      <c r="AE207" s="9"/>
      <c r="AH207" s="9"/>
      <c r="AI207" s="10"/>
      <c r="AK207" s="9"/>
      <c r="AO207" s="23"/>
      <c r="AP207" s="23"/>
      <c r="AX207" s="24"/>
      <c r="AY207" s="24"/>
      <c r="BA207" s="8"/>
      <c r="BB207" s="8"/>
      <c r="BH207" s="23"/>
      <c r="BJ207" s="23"/>
      <c r="BK207" s="23"/>
      <c r="BM207" s="10"/>
      <c r="BN207" s="10"/>
      <c r="BP207" s="8"/>
      <c r="BQ207" s="8"/>
      <c r="BV207" s="23"/>
      <c r="BW207" s="23"/>
      <c r="BY207" s="8"/>
      <c r="BZ207" s="8"/>
      <c r="CA207" s="9"/>
      <c r="CB207" s="23"/>
      <c r="CC207" s="23"/>
      <c r="CD207" s="9"/>
      <c r="CG207" s="9"/>
      <c r="CJ207" s="9"/>
      <c r="CM207" s="9"/>
      <c r="CP207" s="9"/>
      <c r="CS207" s="9"/>
      <c r="CV207" s="9"/>
      <c r="CY207" s="9"/>
      <c r="DB207" s="9"/>
      <c r="DE207" s="9"/>
      <c r="DH207" s="9"/>
      <c r="DK207" s="9"/>
      <c r="DN207" s="9"/>
      <c r="DQ207" s="9"/>
      <c r="DT207" s="9"/>
      <c r="DW207" s="9"/>
      <c r="DX207" s="8"/>
      <c r="DY207" s="8"/>
      <c r="DZ207" s="9"/>
      <c r="EA207" s="8"/>
      <c r="EC207" s="9"/>
      <c r="EF207" s="9"/>
      <c r="EI207" s="9"/>
      <c r="EL207" s="9"/>
      <c r="EO207" s="9"/>
      <c r="ER207" s="9"/>
      <c r="EU207" s="9"/>
      <c r="EX207" s="9"/>
      <c r="FA207" s="9"/>
      <c r="FD207" s="9"/>
      <c r="FG207" s="9"/>
      <c r="FJ207" s="9"/>
      <c r="FK207" s="8"/>
      <c r="FM207" s="9"/>
      <c r="FP207" s="9"/>
      <c r="FS207" s="9"/>
      <c r="FY207" s="9"/>
      <c r="GC207" s="8"/>
      <c r="GD207" s="8"/>
      <c r="GE207" s="9"/>
      <c r="GF207" s="8"/>
      <c r="GG207" s="8"/>
      <c r="GH207" s="9"/>
      <c r="GK207" s="9"/>
      <c r="GS207" s="8"/>
      <c r="GT207" s="8"/>
      <c r="HC207" s="9"/>
    </row>
    <row r="208" ht="15.75" customHeight="1">
      <c r="A208" s="1"/>
      <c r="D208" s="9"/>
      <c r="G208" s="9"/>
      <c r="J208" s="9"/>
      <c r="M208" s="9"/>
      <c r="P208" s="9"/>
      <c r="V208" s="9"/>
      <c r="Y208" s="9"/>
      <c r="AB208" s="9"/>
      <c r="AE208" s="9"/>
      <c r="AH208" s="9"/>
      <c r="AI208" s="10"/>
      <c r="AK208" s="9"/>
      <c r="AO208" s="23"/>
      <c r="AP208" s="23"/>
      <c r="AX208" s="24"/>
      <c r="AY208" s="24"/>
      <c r="BA208" s="8"/>
      <c r="BB208" s="8"/>
      <c r="BH208" s="23"/>
      <c r="BJ208" s="23"/>
      <c r="BK208" s="23"/>
      <c r="BM208" s="10"/>
      <c r="BN208" s="10"/>
      <c r="BP208" s="8"/>
      <c r="BQ208" s="8"/>
      <c r="BV208" s="23"/>
      <c r="BW208" s="23"/>
      <c r="BY208" s="8"/>
      <c r="BZ208" s="8"/>
      <c r="CA208" s="9"/>
      <c r="CB208" s="23"/>
      <c r="CC208" s="23"/>
      <c r="CD208" s="9"/>
      <c r="CG208" s="9"/>
      <c r="CJ208" s="9"/>
      <c r="CM208" s="9"/>
      <c r="CP208" s="9"/>
      <c r="CS208" s="9"/>
      <c r="CV208" s="9"/>
      <c r="CY208" s="9"/>
      <c r="DB208" s="9"/>
      <c r="DE208" s="9"/>
      <c r="DH208" s="9"/>
      <c r="DK208" s="9"/>
      <c r="DN208" s="9"/>
      <c r="DQ208" s="9"/>
      <c r="DT208" s="9"/>
      <c r="DW208" s="9"/>
      <c r="DX208" s="8"/>
      <c r="DY208" s="8"/>
      <c r="DZ208" s="9"/>
      <c r="EA208" s="8"/>
      <c r="EC208" s="9"/>
      <c r="EF208" s="9"/>
      <c r="EI208" s="9"/>
      <c r="EL208" s="9"/>
      <c r="EO208" s="9"/>
      <c r="ER208" s="9"/>
      <c r="EU208" s="9"/>
      <c r="EX208" s="9"/>
      <c r="FA208" s="9"/>
      <c r="FD208" s="9"/>
      <c r="FG208" s="9"/>
      <c r="FJ208" s="9"/>
      <c r="FK208" s="8"/>
      <c r="FM208" s="9"/>
      <c r="FP208" s="9"/>
      <c r="FS208" s="9"/>
      <c r="FY208" s="9"/>
      <c r="GC208" s="8"/>
      <c r="GD208" s="8"/>
      <c r="GE208" s="9"/>
      <c r="GF208" s="8"/>
      <c r="GG208" s="8"/>
      <c r="GH208" s="9"/>
      <c r="GK208" s="9"/>
      <c r="GS208" s="8"/>
      <c r="GT208" s="8"/>
      <c r="HC208" s="9"/>
    </row>
    <row r="209" ht="15.75" customHeight="1">
      <c r="A209" s="1"/>
      <c r="D209" s="9"/>
      <c r="G209" s="9"/>
      <c r="J209" s="9"/>
      <c r="M209" s="9"/>
      <c r="P209" s="9"/>
      <c r="V209" s="9"/>
      <c r="Y209" s="9"/>
      <c r="AB209" s="9"/>
      <c r="AE209" s="9"/>
      <c r="AH209" s="9"/>
      <c r="AI209" s="10"/>
      <c r="AK209" s="9"/>
      <c r="AO209" s="23"/>
      <c r="AP209" s="23"/>
      <c r="AX209" s="24"/>
      <c r="AY209" s="24"/>
      <c r="BA209" s="8"/>
      <c r="BB209" s="8"/>
      <c r="BH209" s="23"/>
      <c r="BJ209" s="23"/>
      <c r="BK209" s="23"/>
      <c r="BM209" s="10"/>
      <c r="BN209" s="10"/>
      <c r="BP209" s="8"/>
      <c r="BQ209" s="8"/>
      <c r="BV209" s="23"/>
      <c r="BW209" s="23"/>
      <c r="BY209" s="8"/>
      <c r="BZ209" s="8"/>
      <c r="CA209" s="9"/>
      <c r="CB209" s="23"/>
      <c r="CC209" s="23"/>
      <c r="CD209" s="9"/>
      <c r="CG209" s="9"/>
      <c r="CJ209" s="9"/>
      <c r="CM209" s="9"/>
      <c r="CP209" s="9"/>
      <c r="CS209" s="9"/>
      <c r="CV209" s="9"/>
      <c r="CY209" s="9"/>
      <c r="DB209" s="9"/>
      <c r="DE209" s="9"/>
      <c r="DH209" s="9"/>
      <c r="DK209" s="9"/>
      <c r="DN209" s="9"/>
      <c r="DQ209" s="9"/>
      <c r="DT209" s="9"/>
      <c r="DW209" s="9"/>
      <c r="DX209" s="8"/>
      <c r="DY209" s="8"/>
      <c r="DZ209" s="9"/>
      <c r="EA209" s="8"/>
      <c r="EC209" s="9"/>
      <c r="EF209" s="9"/>
      <c r="EI209" s="9"/>
      <c r="EL209" s="9"/>
      <c r="EO209" s="9"/>
      <c r="ER209" s="9"/>
      <c r="EU209" s="9"/>
      <c r="EX209" s="9"/>
      <c r="FA209" s="9"/>
      <c r="FD209" s="9"/>
      <c r="FG209" s="9"/>
      <c r="FJ209" s="9"/>
      <c r="FK209" s="8"/>
      <c r="FM209" s="9"/>
      <c r="FP209" s="9"/>
      <c r="FS209" s="9"/>
      <c r="FY209" s="9"/>
      <c r="GC209" s="8"/>
      <c r="GD209" s="8"/>
      <c r="GE209" s="9"/>
      <c r="GF209" s="8"/>
      <c r="GG209" s="8"/>
      <c r="GH209" s="9"/>
      <c r="GK209" s="9"/>
      <c r="GS209" s="8"/>
      <c r="GT209" s="8"/>
      <c r="HC209" s="9"/>
    </row>
    <row r="210" ht="15.75" customHeight="1">
      <c r="A210" s="1"/>
      <c r="D210" s="9"/>
      <c r="G210" s="9"/>
      <c r="J210" s="9"/>
      <c r="M210" s="9"/>
      <c r="P210" s="9"/>
      <c r="V210" s="9"/>
      <c r="Y210" s="9"/>
      <c r="AB210" s="9"/>
      <c r="AE210" s="9"/>
      <c r="AH210" s="9"/>
      <c r="AI210" s="10"/>
      <c r="AK210" s="9"/>
      <c r="AO210" s="23"/>
      <c r="AP210" s="23"/>
      <c r="AX210" s="24"/>
      <c r="AY210" s="24"/>
      <c r="BA210" s="8"/>
      <c r="BB210" s="8"/>
      <c r="BH210" s="23"/>
      <c r="BJ210" s="23"/>
      <c r="BK210" s="23"/>
      <c r="BM210" s="10"/>
      <c r="BN210" s="10"/>
      <c r="BP210" s="8"/>
      <c r="BQ210" s="8"/>
      <c r="BV210" s="23"/>
      <c r="BW210" s="23"/>
      <c r="BY210" s="8"/>
      <c r="BZ210" s="8"/>
      <c r="CA210" s="9"/>
      <c r="CB210" s="23"/>
      <c r="CC210" s="23"/>
      <c r="CD210" s="9"/>
      <c r="CG210" s="9"/>
      <c r="CJ210" s="9"/>
      <c r="CM210" s="9"/>
      <c r="CP210" s="9"/>
      <c r="CS210" s="9"/>
      <c r="CV210" s="9"/>
      <c r="CY210" s="9"/>
      <c r="DB210" s="9"/>
      <c r="DE210" s="9"/>
      <c r="DH210" s="9"/>
      <c r="DK210" s="9"/>
      <c r="DN210" s="9"/>
      <c r="DQ210" s="9"/>
      <c r="DT210" s="9"/>
      <c r="DW210" s="9"/>
      <c r="DX210" s="8"/>
      <c r="DY210" s="8"/>
      <c r="DZ210" s="9"/>
      <c r="EA210" s="8"/>
      <c r="EC210" s="9"/>
      <c r="EF210" s="9"/>
      <c r="EI210" s="9"/>
      <c r="EL210" s="9"/>
      <c r="EO210" s="9"/>
      <c r="ER210" s="9"/>
      <c r="EU210" s="9"/>
      <c r="EX210" s="9"/>
      <c r="FA210" s="9"/>
      <c r="FD210" s="9"/>
      <c r="FG210" s="9"/>
      <c r="FJ210" s="9"/>
      <c r="FK210" s="8"/>
      <c r="FM210" s="9"/>
      <c r="FP210" s="9"/>
      <c r="FS210" s="9"/>
      <c r="FY210" s="9"/>
      <c r="GC210" s="8"/>
      <c r="GD210" s="8"/>
      <c r="GE210" s="9"/>
      <c r="GF210" s="8"/>
      <c r="GG210" s="8"/>
      <c r="GH210" s="9"/>
      <c r="GK210" s="9"/>
      <c r="GS210" s="8"/>
      <c r="GT210" s="8"/>
      <c r="HC210" s="9"/>
    </row>
    <row r="211" ht="15.75" customHeight="1">
      <c r="A211" s="1"/>
      <c r="D211" s="9"/>
      <c r="G211" s="9"/>
      <c r="J211" s="9"/>
      <c r="M211" s="9"/>
      <c r="P211" s="9"/>
      <c r="V211" s="9"/>
      <c r="Y211" s="9"/>
      <c r="AB211" s="9"/>
      <c r="AE211" s="9"/>
      <c r="AH211" s="9"/>
      <c r="AI211" s="10"/>
      <c r="AK211" s="9"/>
      <c r="AO211" s="23"/>
      <c r="AP211" s="23"/>
      <c r="AX211" s="24"/>
      <c r="AY211" s="24"/>
      <c r="BA211" s="8"/>
      <c r="BB211" s="8"/>
      <c r="BH211" s="23"/>
      <c r="BJ211" s="23"/>
      <c r="BK211" s="23"/>
      <c r="BM211" s="10"/>
      <c r="BN211" s="10"/>
      <c r="BP211" s="8"/>
      <c r="BQ211" s="8"/>
      <c r="BV211" s="23"/>
      <c r="BW211" s="23"/>
      <c r="BY211" s="8"/>
      <c r="BZ211" s="8"/>
      <c r="CA211" s="9"/>
      <c r="CB211" s="23"/>
      <c r="CC211" s="23"/>
      <c r="CD211" s="9"/>
      <c r="CG211" s="9"/>
      <c r="CJ211" s="9"/>
      <c r="CM211" s="9"/>
      <c r="CP211" s="9"/>
      <c r="CS211" s="9"/>
      <c r="CV211" s="9"/>
      <c r="CY211" s="9"/>
      <c r="DB211" s="9"/>
      <c r="DE211" s="9"/>
      <c r="DH211" s="9"/>
      <c r="DK211" s="9"/>
      <c r="DN211" s="9"/>
      <c r="DQ211" s="9"/>
      <c r="DT211" s="9"/>
      <c r="DW211" s="9"/>
      <c r="DX211" s="8"/>
      <c r="DY211" s="8"/>
      <c r="DZ211" s="9"/>
      <c r="EA211" s="8"/>
      <c r="EC211" s="9"/>
      <c r="EF211" s="9"/>
      <c r="EI211" s="9"/>
      <c r="EL211" s="9"/>
      <c r="EO211" s="9"/>
      <c r="ER211" s="9"/>
      <c r="EU211" s="9"/>
      <c r="EX211" s="9"/>
      <c r="FA211" s="9"/>
      <c r="FD211" s="9"/>
      <c r="FG211" s="9"/>
      <c r="FJ211" s="9"/>
      <c r="FK211" s="8"/>
      <c r="FM211" s="9"/>
      <c r="FP211" s="9"/>
      <c r="FS211" s="9"/>
      <c r="FY211" s="9"/>
      <c r="GC211" s="8"/>
      <c r="GD211" s="8"/>
      <c r="GE211" s="9"/>
      <c r="GF211" s="8"/>
      <c r="GG211" s="8"/>
      <c r="GH211" s="9"/>
      <c r="GK211" s="9"/>
      <c r="GS211" s="8"/>
      <c r="GT211" s="8"/>
      <c r="HC211" s="9"/>
    </row>
    <row r="212" ht="15.75" customHeight="1">
      <c r="A212" s="1"/>
      <c r="D212" s="9"/>
      <c r="G212" s="9"/>
      <c r="J212" s="9"/>
      <c r="M212" s="9"/>
      <c r="P212" s="9"/>
      <c r="V212" s="9"/>
      <c r="Y212" s="9"/>
      <c r="AB212" s="9"/>
      <c r="AE212" s="9"/>
      <c r="AH212" s="9"/>
      <c r="AI212" s="10"/>
      <c r="AK212" s="9"/>
      <c r="AO212" s="23"/>
      <c r="AP212" s="23"/>
      <c r="AX212" s="24"/>
      <c r="AY212" s="24"/>
      <c r="BA212" s="8"/>
      <c r="BB212" s="8"/>
      <c r="BH212" s="23"/>
      <c r="BJ212" s="23"/>
      <c r="BK212" s="23"/>
      <c r="BM212" s="10"/>
      <c r="BN212" s="10"/>
      <c r="BP212" s="8"/>
      <c r="BQ212" s="8"/>
      <c r="BV212" s="23"/>
      <c r="BW212" s="23"/>
      <c r="BY212" s="8"/>
      <c r="BZ212" s="8"/>
      <c r="CA212" s="9"/>
      <c r="CB212" s="23"/>
      <c r="CC212" s="23"/>
      <c r="CD212" s="9"/>
      <c r="CG212" s="9"/>
      <c r="CJ212" s="9"/>
      <c r="CM212" s="9"/>
      <c r="CP212" s="9"/>
      <c r="CS212" s="9"/>
      <c r="CV212" s="9"/>
      <c r="CY212" s="9"/>
      <c r="DB212" s="9"/>
      <c r="DE212" s="9"/>
      <c r="DH212" s="9"/>
      <c r="DK212" s="9"/>
      <c r="DN212" s="9"/>
      <c r="DQ212" s="9"/>
      <c r="DT212" s="9"/>
      <c r="DW212" s="9"/>
      <c r="DX212" s="8"/>
      <c r="DY212" s="8"/>
      <c r="DZ212" s="9"/>
      <c r="EA212" s="8"/>
      <c r="EC212" s="9"/>
      <c r="EF212" s="9"/>
      <c r="EI212" s="9"/>
      <c r="EL212" s="9"/>
      <c r="EO212" s="9"/>
      <c r="ER212" s="9"/>
      <c r="EU212" s="9"/>
      <c r="EX212" s="9"/>
      <c r="FA212" s="9"/>
      <c r="FD212" s="9"/>
      <c r="FG212" s="9"/>
      <c r="FJ212" s="9"/>
      <c r="FK212" s="8"/>
      <c r="FM212" s="9"/>
      <c r="FP212" s="9"/>
      <c r="FS212" s="9"/>
      <c r="FY212" s="9"/>
      <c r="GC212" s="8"/>
      <c r="GD212" s="8"/>
      <c r="GE212" s="9"/>
      <c r="GF212" s="8"/>
      <c r="GG212" s="8"/>
      <c r="GH212" s="9"/>
      <c r="GK212" s="9"/>
      <c r="GS212" s="8"/>
      <c r="GT212" s="8"/>
      <c r="HC212" s="9"/>
    </row>
    <row r="213" ht="15.75" customHeight="1">
      <c r="A213" s="1"/>
      <c r="D213" s="9"/>
      <c r="G213" s="9"/>
      <c r="J213" s="9"/>
      <c r="M213" s="9"/>
      <c r="P213" s="9"/>
      <c r="V213" s="9"/>
      <c r="Y213" s="9"/>
      <c r="AB213" s="9"/>
      <c r="AE213" s="9"/>
      <c r="AH213" s="9"/>
      <c r="AI213" s="10"/>
      <c r="AK213" s="9"/>
      <c r="AO213" s="23"/>
      <c r="AP213" s="23"/>
      <c r="AX213" s="24"/>
      <c r="AY213" s="24"/>
      <c r="BA213" s="8"/>
      <c r="BB213" s="8"/>
      <c r="BH213" s="23"/>
      <c r="BJ213" s="23"/>
      <c r="BK213" s="23"/>
      <c r="BM213" s="10"/>
      <c r="BN213" s="10"/>
      <c r="BP213" s="8"/>
      <c r="BQ213" s="8"/>
      <c r="BV213" s="23"/>
      <c r="BW213" s="23"/>
      <c r="BY213" s="8"/>
      <c r="BZ213" s="8"/>
      <c r="CA213" s="9"/>
      <c r="CB213" s="23"/>
      <c r="CC213" s="23"/>
      <c r="CD213" s="9"/>
      <c r="CG213" s="9"/>
      <c r="CJ213" s="9"/>
      <c r="CM213" s="9"/>
      <c r="CP213" s="9"/>
      <c r="CS213" s="9"/>
      <c r="CV213" s="9"/>
      <c r="CY213" s="9"/>
      <c r="DB213" s="9"/>
      <c r="DE213" s="9"/>
      <c r="DH213" s="9"/>
      <c r="DK213" s="9"/>
      <c r="DN213" s="9"/>
      <c r="DQ213" s="9"/>
      <c r="DT213" s="9"/>
      <c r="DW213" s="9"/>
      <c r="DX213" s="8"/>
      <c r="DY213" s="8"/>
      <c r="DZ213" s="9"/>
      <c r="EA213" s="8"/>
      <c r="EC213" s="9"/>
      <c r="EF213" s="9"/>
      <c r="EI213" s="9"/>
      <c r="EL213" s="9"/>
      <c r="EO213" s="9"/>
      <c r="ER213" s="9"/>
      <c r="EU213" s="9"/>
      <c r="EX213" s="9"/>
      <c r="FA213" s="9"/>
      <c r="FD213" s="9"/>
      <c r="FG213" s="9"/>
      <c r="FJ213" s="9"/>
      <c r="FK213" s="8"/>
      <c r="FM213" s="9"/>
      <c r="FP213" s="9"/>
      <c r="FS213" s="9"/>
      <c r="FY213" s="9"/>
      <c r="GC213" s="8"/>
      <c r="GD213" s="8"/>
      <c r="GE213" s="9"/>
      <c r="GF213" s="8"/>
      <c r="GG213" s="8"/>
      <c r="GH213" s="9"/>
      <c r="GK213" s="9"/>
      <c r="GS213" s="8"/>
      <c r="GT213" s="8"/>
      <c r="HC213" s="9"/>
    </row>
    <row r="214" ht="15.75" customHeight="1">
      <c r="A214" s="1"/>
      <c r="D214" s="9"/>
      <c r="G214" s="9"/>
      <c r="J214" s="9"/>
      <c r="M214" s="9"/>
      <c r="P214" s="9"/>
      <c r="V214" s="9"/>
      <c r="Y214" s="9"/>
      <c r="AB214" s="9"/>
      <c r="AE214" s="9"/>
      <c r="AH214" s="9"/>
      <c r="AI214" s="10"/>
      <c r="AK214" s="9"/>
      <c r="AO214" s="23"/>
      <c r="AP214" s="23"/>
      <c r="AX214" s="24"/>
      <c r="AY214" s="24"/>
      <c r="BA214" s="8"/>
      <c r="BB214" s="8"/>
      <c r="BH214" s="23"/>
      <c r="BJ214" s="23"/>
      <c r="BK214" s="23"/>
      <c r="BM214" s="10"/>
      <c r="BN214" s="10"/>
      <c r="BP214" s="8"/>
      <c r="BQ214" s="8"/>
      <c r="BV214" s="23"/>
      <c r="BW214" s="23"/>
      <c r="BY214" s="8"/>
      <c r="BZ214" s="8"/>
      <c r="CA214" s="9"/>
      <c r="CB214" s="23"/>
      <c r="CC214" s="23"/>
      <c r="CD214" s="9"/>
      <c r="CG214" s="9"/>
      <c r="CJ214" s="9"/>
      <c r="CM214" s="9"/>
      <c r="CP214" s="9"/>
      <c r="CS214" s="9"/>
      <c r="CV214" s="9"/>
      <c r="CY214" s="9"/>
      <c r="DB214" s="9"/>
      <c r="DE214" s="9"/>
      <c r="DH214" s="9"/>
      <c r="DK214" s="9"/>
      <c r="DN214" s="9"/>
      <c r="DQ214" s="9"/>
      <c r="DT214" s="9"/>
      <c r="DW214" s="9"/>
      <c r="DX214" s="8"/>
      <c r="DY214" s="8"/>
      <c r="DZ214" s="9"/>
      <c r="EA214" s="8"/>
      <c r="EC214" s="9"/>
      <c r="EF214" s="9"/>
      <c r="EI214" s="9"/>
      <c r="EL214" s="9"/>
      <c r="EO214" s="9"/>
      <c r="ER214" s="9"/>
      <c r="EU214" s="9"/>
      <c r="EX214" s="9"/>
      <c r="FA214" s="9"/>
      <c r="FD214" s="9"/>
      <c r="FG214" s="9"/>
      <c r="FJ214" s="9"/>
      <c r="FK214" s="8"/>
      <c r="FM214" s="9"/>
      <c r="FP214" s="9"/>
      <c r="FS214" s="9"/>
      <c r="FY214" s="9"/>
      <c r="GC214" s="8"/>
      <c r="GD214" s="8"/>
      <c r="GE214" s="9"/>
      <c r="GF214" s="8"/>
      <c r="GG214" s="8"/>
      <c r="GH214" s="9"/>
      <c r="GK214" s="9"/>
      <c r="GS214" s="8"/>
      <c r="GT214" s="8"/>
      <c r="HC214" s="9"/>
    </row>
    <row r="215" ht="15.75" customHeight="1">
      <c r="A215" s="1"/>
      <c r="D215" s="9"/>
      <c r="G215" s="9"/>
      <c r="J215" s="9"/>
      <c r="M215" s="9"/>
      <c r="P215" s="9"/>
      <c r="V215" s="9"/>
      <c r="Y215" s="9"/>
      <c r="AB215" s="9"/>
      <c r="AE215" s="9"/>
      <c r="AH215" s="9"/>
      <c r="AI215" s="10"/>
      <c r="AK215" s="9"/>
      <c r="AO215" s="23"/>
      <c r="AP215" s="23"/>
      <c r="AX215" s="24"/>
      <c r="AY215" s="24"/>
      <c r="BA215" s="8"/>
      <c r="BB215" s="8"/>
      <c r="BH215" s="23"/>
      <c r="BJ215" s="23"/>
      <c r="BK215" s="23"/>
      <c r="BM215" s="10"/>
      <c r="BN215" s="10"/>
      <c r="BP215" s="8"/>
      <c r="BQ215" s="8"/>
      <c r="BV215" s="23"/>
      <c r="BW215" s="23"/>
      <c r="BY215" s="8"/>
      <c r="BZ215" s="8"/>
      <c r="CA215" s="9"/>
      <c r="CB215" s="23"/>
      <c r="CC215" s="23"/>
      <c r="CD215" s="9"/>
      <c r="CG215" s="9"/>
      <c r="CJ215" s="9"/>
      <c r="CM215" s="9"/>
      <c r="CP215" s="9"/>
      <c r="CS215" s="9"/>
      <c r="CV215" s="9"/>
      <c r="CY215" s="9"/>
      <c r="DB215" s="9"/>
      <c r="DE215" s="9"/>
      <c r="DH215" s="9"/>
      <c r="DK215" s="9"/>
      <c r="DN215" s="9"/>
      <c r="DQ215" s="9"/>
      <c r="DT215" s="9"/>
      <c r="DW215" s="9"/>
      <c r="DX215" s="8"/>
      <c r="DY215" s="8"/>
      <c r="DZ215" s="9"/>
      <c r="EA215" s="8"/>
      <c r="EC215" s="9"/>
      <c r="EF215" s="9"/>
      <c r="EI215" s="9"/>
      <c r="EL215" s="9"/>
      <c r="EO215" s="9"/>
      <c r="ER215" s="9"/>
      <c r="EU215" s="9"/>
      <c r="EX215" s="9"/>
      <c r="FA215" s="9"/>
      <c r="FD215" s="9"/>
      <c r="FG215" s="9"/>
      <c r="FJ215" s="9"/>
      <c r="FK215" s="8"/>
      <c r="FM215" s="9"/>
      <c r="FP215" s="9"/>
      <c r="FS215" s="9"/>
      <c r="FY215" s="9"/>
      <c r="GC215" s="8"/>
      <c r="GD215" s="8"/>
      <c r="GE215" s="9"/>
      <c r="GF215" s="8"/>
      <c r="GG215" s="8"/>
      <c r="GH215" s="9"/>
      <c r="GK215" s="9"/>
      <c r="GS215" s="8"/>
      <c r="GT215" s="8"/>
      <c r="HC215" s="9"/>
    </row>
    <row r="216" ht="15.75" customHeight="1">
      <c r="A216" s="1"/>
      <c r="D216" s="9"/>
      <c r="G216" s="9"/>
      <c r="J216" s="9"/>
      <c r="M216" s="9"/>
      <c r="P216" s="9"/>
      <c r="V216" s="9"/>
      <c r="Y216" s="9"/>
      <c r="AB216" s="9"/>
      <c r="AE216" s="9"/>
      <c r="AH216" s="9"/>
      <c r="AI216" s="10"/>
      <c r="AK216" s="9"/>
      <c r="AO216" s="23"/>
      <c r="AP216" s="23"/>
      <c r="AX216" s="24"/>
      <c r="AY216" s="24"/>
      <c r="BA216" s="8"/>
      <c r="BB216" s="8"/>
      <c r="BH216" s="23"/>
      <c r="BJ216" s="23"/>
      <c r="BK216" s="23"/>
      <c r="BM216" s="10"/>
      <c r="BN216" s="10"/>
      <c r="BP216" s="8"/>
      <c r="BQ216" s="8"/>
      <c r="BV216" s="23"/>
      <c r="BW216" s="23"/>
      <c r="BY216" s="8"/>
      <c r="BZ216" s="8"/>
      <c r="CA216" s="9"/>
      <c r="CB216" s="23"/>
      <c r="CC216" s="23"/>
      <c r="CD216" s="9"/>
      <c r="CG216" s="9"/>
      <c r="CJ216" s="9"/>
      <c r="CM216" s="9"/>
      <c r="CP216" s="9"/>
      <c r="CS216" s="9"/>
      <c r="CV216" s="9"/>
      <c r="CY216" s="9"/>
      <c r="DB216" s="9"/>
      <c r="DE216" s="9"/>
      <c r="DH216" s="9"/>
      <c r="DK216" s="9"/>
      <c r="DN216" s="9"/>
      <c r="DQ216" s="9"/>
      <c r="DT216" s="9"/>
      <c r="DW216" s="9"/>
      <c r="DX216" s="8"/>
      <c r="DY216" s="8"/>
      <c r="DZ216" s="9"/>
      <c r="EA216" s="8"/>
      <c r="EC216" s="9"/>
      <c r="EF216" s="9"/>
      <c r="EI216" s="9"/>
      <c r="EL216" s="9"/>
      <c r="EO216" s="9"/>
      <c r="ER216" s="9"/>
      <c r="EU216" s="9"/>
      <c r="EX216" s="9"/>
      <c r="FA216" s="9"/>
      <c r="FD216" s="9"/>
      <c r="FG216" s="9"/>
      <c r="FJ216" s="9"/>
      <c r="FK216" s="8"/>
      <c r="FM216" s="9"/>
      <c r="FP216" s="9"/>
      <c r="FS216" s="9"/>
      <c r="FY216" s="9"/>
      <c r="GC216" s="8"/>
      <c r="GD216" s="8"/>
      <c r="GE216" s="9"/>
      <c r="GF216" s="8"/>
      <c r="GG216" s="8"/>
      <c r="GH216" s="9"/>
      <c r="GK216" s="9"/>
      <c r="GS216" s="8"/>
      <c r="GT216" s="8"/>
      <c r="HC216" s="9"/>
    </row>
    <row r="217" ht="15.75" customHeight="1">
      <c r="A217" s="1"/>
      <c r="D217" s="9"/>
      <c r="G217" s="9"/>
      <c r="J217" s="9"/>
      <c r="M217" s="9"/>
      <c r="P217" s="9"/>
      <c r="V217" s="9"/>
      <c r="Y217" s="9"/>
      <c r="AB217" s="9"/>
      <c r="AE217" s="9"/>
      <c r="AH217" s="9"/>
      <c r="AI217" s="10"/>
      <c r="AK217" s="9"/>
      <c r="AO217" s="23"/>
      <c r="AP217" s="23"/>
      <c r="AX217" s="24"/>
      <c r="AY217" s="24"/>
      <c r="BA217" s="8"/>
      <c r="BB217" s="8"/>
      <c r="BH217" s="23"/>
      <c r="BJ217" s="23"/>
      <c r="BK217" s="23"/>
      <c r="BM217" s="10"/>
      <c r="BN217" s="10"/>
      <c r="BP217" s="8"/>
      <c r="BQ217" s="8"/>
      <c r="BV217" s="23"/>
      <c r="BW217" s="23"/>
      <c r="BY217" s="8"/>
      <c r="BZ217" s="8"/>
      <c r="CA217" s="9"/>
      <c r="CB217" s="23"/>
      <c r="CC217" s="23"/>
      <c r="CD217" s="9"/>
      <c r="CG217" s="9"/>
      <c r="CJ217" s="9"/>
      <c r="CM217" s="9"/>
      <c r="CP217" s="9"/>
      <c r="CS217" s="9"/>
      <c r="CV217" s="9"/>
      <c r="CY217" s="9"/>
      <c r="DB217" s="9"/>
      <c r="DE217" s="9"/>
      <c r="DH217" s="9"/>
      <c r="DK217" s="9"/>
      <c r="DN217" s="9"/>
      <c r="DQ217" s="9"/>
      <c r="DT217" s="9"/>
      <c r="DW217" s="9"/>
      <c r="DX217" s="8"/>
      <c r="DY217" s="8"/>
      <c r="DZ217" s="9"/>
      <c r="EA217" s="8"/>
      <c r="EC217" s="9"/>
      <c r="EF217" s="9"/>
      <c r="EI217" s="9"/>
      <c r="EL217" s="9"/>
      <c r="EO217" s="9"/>
      <c r="ER217" s="9"/>
      <c r="EU217" s="9"/>
      <c r="EX217" s="9"/>
      <c r="FA217" s="9"/>
      <c r="FD217" s="9"/>
      <c r="FG217" s="9"/>
      <c r="FJ217" s="9"/>
      <c r="FK217" s="8"/>
      <c r="FM217" s="9"/>
      <c r="FP217" s="9"/>
      <c r="FS217" s="9"/>
      <c r="FY217" s="9"/>
      <c r="GC217" s="8"/>
      <c r="GD217" s="8"/>
      <c r="GE217" s="9"/>
      <c r="GF217" s="8"/>
      <c r="GG217" s="8"/>
      <c r="GH217" s="9"/>
      <c r="GK217" s="9"/>
      <c r="GS217" s="8"/>
      <c r="GT217" s="8"/>
      <c r="HC217" s="9"/>
    </row>
    <row r="218" ht="15.75" customHeight="1">
      <c r="A218" s="1"/>
      <c r="D218" s="9"/>
      <c r="G218" s="9"/>
      <c r="J218" s="9"/>
      <c r="M218" s="9"/>
      <c r="P218" s="9"/>
      <c r="V218" s="9"/>
      <c r="Y218" s="9"/>
      <c r="AB218" s="9"/>
      <c r="AE218" s="9"/>
      <c r="AH218" s="9"/>
      <c r="AI218" s="10"/>
      <c r="AK218" s="9"/>
      <c r="AO218" s="23"/>
      <c r="AP218" s="23"/>
      <c r="AX218" s="24"/>
      <c r="AY218" s="24"/>
      <c r="BA218" s="8"/>
      <c r="BB218" s="8"/>
      <c r="BH218" s="23"/>
      <c r="BJ218" s="23"/>
      <c r="BK218" s="23"/>
      <c r="BM218" s="10"/>
      <c r="BN218" s="10"/>
      <c r="BP218" s="8"/>
      <c r="BQ218" s="8"/>
      <c r="BV218" s="23"/>
      <c r="BW218" s="23"/>
      <c r="BY218" s="8"/>
      <c r="BZ218" s="8"/>
      <c r="CA218" s="9"/>
      <c r="CB218" s="23"/>
      <c r="CC218" s="23"/>
      <c r="CD218" s="9"/>
      <c r="CG218" s="9"/>
      <c r="CJ218" s="9"/>
      <c r="CM218" s="9"/>
      <c r="CP218" s="9"/>
      <c r="CS218" s="9"/>
      <c r="CV218" s="9"/>
      <c r="CY218" s="9"/>
      <c r="DB218" s="9"/>
      <c r="DE218" s="9"/>
      <c r="DH218" s="9"/>
      <c r="DK218" s="9"/>
      <c r="DN218" s="9"/>
      <c r="DQ218" s="9"/>
      <c r="DT218" s="9"/>
      <c r="DW218" s="9"/>
      <c r="DX218" s="8"/>
      <c r="DY218" s="8"/>
      <c r="DZ218" s="9"/>
      <c r="EA218" s="8"/>
      <c r="EC218" s="9"/>
      <c r="EF218" s="9"/>
      <c r="EI218" s="9"/>
      <c r="EL218" s="9"/>
      <c r="EO218" s="9"/>
      <c r="ER218" s="9"/>
      <c r="EU218" s="9"/>
      <c r="EX218" s="9"/>
      <c r="FA218" s="9"/>
      <c r="FD218" s="9"/>
      <c r="FG218" s="9"/>
      <c r="FJ218" s="9"/>
      <c r="FK218" s="8"/>
      <c r="FM218" s="9"/>
      <c r="FP218" s="9"/>
      <c r="FS218" s="9"/>
      <c r="FY218" s="9"/>
      <c r="GC218" s="8"/>
      <c r="GD218" s="8"/>
      <c r="GE218" s="9"/>
      <c r="GF218" s="8"/>
      <c r="GG218" s="8"/>
      <c r="GH218" s="9"/>
      <c r="GK218" s="9"/>
      <c r="GS218" s="8"/>
      <c r="GT218" s="8"/>
      <c r="HC218" s="9"/>
    </row>
    <row r="219" ht="15.75" customHeight="1">
      <c r="A219" s="1"/>
      <c r="D219" s="9"/>
      <c r="G219" s="9"/>
      <c r="J219" s="9"/>
      <c r="M219" s="9"/>
      <c r="P219" s="9"/>
      <c r="V219" s="9"/>
      <c r="Y219" s="9"/>
      <c r="AB219" s="9"/>
      <c r="AE219" s="9"/>
      <c r="AH219" s="9"/>
      <c r="AI219" s="10"/>
      <c r="AK219" s="9"/>
      <c r="AO219" s="23"/>
      <c r="AP219" s="23"/>
      <c r="AX219" s="24"/>
      <c r="AY219" s="24"/>
      <c r="BA219" s="8"/>
      <c r="BB219" s="8"/>
      <c r="BH219" s="23"/>
      <c r="BJ219" s="23"/>
      <c r="BK219" s="23"/>
      <c r="BM219" s="10"/>
      <c r="BN219" s="10"/>
      <c r="BP219" s="8"/>
      <c r="BQ219" s="8"/>
      <c r="BV219" s="23"/>
      <c r="BW219" s="23"/>
      <c r="BY219" s="8"/>
      <c r="BZ219" s="8"/>
      <c r="CA219" s="9"/>
      <c r="CB219" s="23"/>
      <c r="CC219" s="23"/>
      <c r="CD219" s="9"/>
      <c r="CG219" s="9"/>
      <c r="CJ219" s="9"/>
      <c r="CM219" s="9"/>
      <c r="CP219" s="9"/>
      <c r="CS219" s="9"/>
      <c r="CV219" s="9"/>
      <c r="CY219" s="9"/>
      <c r="DB219" s="9"/>
      <c r="DE219" s="9"/>
      <c r="DH219" s="9"/>
      <c r="DK219" s="9"/>
      <c r="DN219" s="9"/>
      <c r="DQ219" s="9"/>
      <c r="DT219" s="9"/>
      <c r="DW219" s="9"/>
      <c r="DX219" s="8"/>
      <c r="DY219" s="8"/>
      <c r="DZ219" s="9"/>
      <c r="EA219" s="8"/>
      <c r="EC219" s="9"/>
      <c r="EF219" s="9"/>
      <c r="EI219" s="9"/>
      <c r="EL219" s="9"/>
      <c r="EO219" s="9"/>
      <c r="ER219" s="9"/>
      <c r="EU219" s="9"/>
      <c r="EX219" s="9"/>
      <c r="FA219" s="9"/>
      <c r="FD219" s="9"/>
      <c r="FG219" s="9"/>
      <c r="FJ219" s="9"/>
      <c r="FK219" s="8"/>
      <c r="FM219" s="9"/>
      <c r="FP219" s="9"/>
      <c r="FS219" s="9"/>
      <c r="FY219" s="9"/>
      <c r="GC219" s="8"/>
      <c r="GD219" s="8"/>
      <c r="GE219" s="9"/>
      <c r="GF219" s="8"/>
      <c r="GG219" s="8"/>
      <c r="GH219" s="9"/>
      <c r="GK219" s="9"/>
      <c r="GS219" s="8"/>
      <c r="GT219" s="8"/>
      <c r="HC219" s="9"/>
    </row>
    <row r="220" ht="15.75" customHeight="1">
      <c r="A220" s="1"/>
      <c r="D220" s="9"/>
      <c r="G220" s="9"/>
      <c r="J220" s="9"/>
      <c r="M220" s="9"/>
      <c r="P220" s="9"/>
      <c r="V220" s="9"/>
      <c r="Y220" s="9"/>
      <c r="AB220" s="9"/>
      <c r="AE220" s="9"/>
      <c r="AH220" s="9"/>
      <c r="AI220" s="10"/>
      <c r="AK220" s="9"/>
      <c r="AO220" s="23"/>
      <c r="AP220" s="23"/>
      <c r="AX220" s="24"/>
      <c r="AY220" s="24"/>
      <c r="BA220" s="8"/>
      <c r="BB220" s="8"/>
      <c r="BH220" s="23"/>
      <c r="BJ220" s="23"/>
      <c r="BK220" s="23"/>
      <c r="BM220" s="10"/>
      <c r="BN220" s="10"/>
      <c r="BP220" s="8"/>
      <c r="BQ220" s="8"/>
      <c r="BV220" s="23"/>
      <c r="BW220" s="23"/>
      <c r="BY220" s="8"/>
      <c r="BZ220" s="8"/>
      <c r="CA220" s="9"/>
      <c r="CB220" s="23"/>
      <c r="CC220" s="23"/>
      <c r="CD220" s="9"/>
      <c r="CG220" s="9"/>
      <c r="CJ220" s="9"/>
      <c r="CM220" s="9"/>
      <c r="CP220" s="9"/>
      <c r="CS220" s="9"/>
      <c r="CV220" s="9"/>
      <c r="CY220" s="9"/>
      <c r="DB220" s="9"/>
      <c r="DE220" s="9"/>
      <c r="DH220" s="9"/>
      <c r="DK220" s="9"/>
      <c r="DN220" s="9"/>
      <c r="DQ220" s="9"/>
      <c r="DT220" s="9"/>
      <c r="DW220" s="9"/>
      <c r="DX220" s="8"/>
      <c r="DY220" s="8"/>
      <c r="DZ220" s="9"/>
      <c r="EA220" s="8"/>
      <c r="EC220" s="9"/>
      <c r="EF220" s="9"/>
      <c r="EI220" s="9"/>
      <c r="EL220" s="9"/>
      <c r="EO220" s="9"/>
      <c r="ER220" s="9"/>
      <c r="EU220" s="9"/>
      <c r="EX220" s="9"/>
      <c r="FA220" s="9"/>
      <c r="FD220" s="9"/>
      <c r="FG220" s="9"/>
      <c r="FJ220" s="9"/>
      <c r="FK220" s="8"/>
      <c r="FM220" s="9"/>
      <c r="FP220" s="9"/>
      <c r="FS220" s="9"/>
      <c r="FY220" s="9"/>
      <c r="GC220" s="8"/>
      <c r="GD220" s="8"/>
      <c r="GE220" s="9"/>
      <c r="GF220" s="8"/>
      <c r="GG220" s="8"/>
      <c r="GH220" s="9"/>
      <c r="GK220" s="9"/>
      <c r="GS220" s="8"/>
      <c r="GT220" s="8"/>
      <c r="HC220" s="9"/>
    </row>
    <row r="221" ht="15.75" customHeight="1">
      <c r="A221" s="1"/>
      <c r="D221" s="9"/>
      <c r="G221" s="9"/>
      <c r="J221" s="9"/>
      <c r="M221" s="9"/>
      <c r="P221" s="9"/>
      <c r="V221" s="9"/>
      <c r="Y221" s="9"/>
      <c r="AB221" s="9"/>
      <c r="AE221" s="9"/>
      <c r="AH221" s="9"/>
      <c r="AI221" s="10"/>
      <c r="AK221" s="9"/>
      <c r="AO221" s="23"/>
      <c r="AP221" s="23"/>
      <c r="AX221" s="24"/>
      <c r="AY221" s="24"/>
      <c r="BA221" s="8"/>
      <c r="BB221" s="8"/>
      <c r="BH221" s="23"/>
      <c r="BJ221" s="23"/>
      <c r="BK221" s="23"/>
      <c r="BM221" s="10"/>
      <c r="BN221" s="10"/>
      <c r="BP221" s="8"/>
      <c r="BQ221" s="8"/>
      <c r="BV221" s="23"/>
      <c r="BW221" s="23"/>
      <c r="BY221" s="8"/>
      <c r="BZ221" s="8"/>
      <c r="CA221" s="9"/>
      <c r="CB221" s="23"/>
      <c r="CC221" s="23"/>
      <c r="CD221" s="9"/>
      <c r="CG221" s="9"/>
      <c r="CJ221" s="9"/>
      <c r="CM221" s="9"/>
      <c r="CP221" s="9"/>
      <c r="CS221" s="9"/>
      <c r="CV221" s="9"/>
      <c r="CY221" s="9"/>
      <c r="DB221" s="9"/>
      <c r="DE221" s="9"/>
      <c r="DH221" s="9"/>
      <c r="DK221" s="9"/>
      <c r="DN221" s="9"/>
      <c r="DQ221" s="9"/>
      <c r="DT221" s="9"/>
      <c r="DW221" s="9"/>
      <c r="DX221" s="8"/>
      <c r="DY221" s="8"/>
      <c r="DZ221" s="9"/>
      <c r="EA221" s="8"/>
      <c r="EC221" s="9"/>
      <c r="EF221" s="9"/>
      <c r="EI221" s="9"/>
      <c r="EL221" s="9"/>
      <c r="EO221" s="9"/>
      <c r="ER221" s="9"/>
      <c r="EU221" s="9"/>
      <c r="EX221" s="9"/>
      <c r="FA221" s="9"/>
      <c r="FD221" s="9"/>
      <c r="FG221" s="9"/>
      <c r="FJ221" s="9"/>
      <c r="FK221" s="8"/>
      <c r="FM221" s="9"/>
      <c r="FP221" s="9"/>
      <c r="FS221" s="9"/>
      <c r="FY221" s="9"/>
      <c r="GC221" s="8"/>
      <c r="GD221" s="8"/>
      <c r="GE221" s="9"/>
      <c r="GF221" s="8"/>
      <c r="GG221" s="8"/>
      <c r="GH221" s="9"/>
      <c r="GK221" s="9"/>
      <c r="GS221" s="8"/>
      <c r="GT221" s="8"/>
      <c r="HC221" s="9"/>
    </row>
    <row r="222" ht="15.75" customHeight="1">
      <c r="A222" s="1"/>
      <c r="D222" s="9"/>
      <c r="G222" s="9"/>
      <c r="J222" s="9"/>
      <c r="M222" s="9"/>
      <c r="P222" s="9"/>
      <c r="V222" s="9"/>
      <c r="Y222" s="9"/>
      <c r="AB222" s="9"/>
      <c r="AE222" s="9"/>
      <c r="AH222" s="9"/>
      <c r="AI222" s="10"/>
      <c r="AK222" s="9"/>
      <c r="AO222" s="23"/>
      <c r="AP222" s="23"/>
      <c r="AX222" s="24"/>
      <c r="AY222" s="24"/>
      <c r="BA222" s="8"/>
      <c r="BB222" s="8"/>
      <c r="BH222" s="23"/>
      <c r="BJ222" s="23"/>
      <c r="BK222" s="23"/>
      <c r="BM222" s="10"/>
      <c r="BN222" s="10"/>
      <c r="BP222" s="8"/>
      <c r="BQ222" s="8"/>
      <c r="BV222" s="23"/>
      <c r="BW222" s="23"/>
      <c r="BY222" s="8"/>
      <c r="BZ222" s="8"/>
      <c r="CA222" s="9"/>
      <c r="CB222" s="23"/>
      <c r="CC222" s="23"/>
      <c r="CD222" s="9"/>
      <c r="CG222" s="9"/>
      <c r="CJ222" s="9"/>
      <c r="CM222" s="9"/>
      <c r="CP222" s="9"/>
      <c r="CS222" s="9"/>
      <c r="CV222" s="9"/>
      <c r="CY222" s="9"/>
      <c r="DB222" s="9"/>
      <c r="DE222" s="9"/>
      <c r="DH222" s="9"/>
      <c r="DK222" s="9"/>
      <c r="DN222" s="9"/>
      <c r="DQ222" s="9"/>
      <c r="DT222" s="9"/>
      <c r="DW222" s="9"/>
      <c r="DX222" s="8"/>
      <c r="DY222" s="8"/>
      <c r="DZ222" s="9"/>
      <c r="EA222" s="8"/>
      <c r="EC222" s="9"/>
      <c r="EF222" s="9"/>
      <c r="EI222" s="9"/>
      <c r="EL222" s="9"/>
      <c r="EO222" s="9"/>
      <c r="ER222" s="9"/>
      <c r="EU222" s="9"/>
      <c r="EX222" s="9"/>
      <c r="FA222" s="9"/>
      <c r="FD222" s="9"/>
      <c r="FG222" s="9"/>
      <c r="FJ222" s="9"/>
      <c r="FK222" s="8"/>
      <c r="FM222" s="9"/>
      <c r="FP222" s="9"/>
      <c r="FS222" s="9"/>
      <c r="FY222" s="9"/>
      <c r="GC222" s="8"/>
      <c r="GD222" s="8"/>
      <c r="GE222" s="9"/>
      <c r="GF222" s="8"/>
      <c r="GG222" s="8"/>
      <c r="GH222" s="9"/>
      <c r="GK222" s="9"/>
      <c r="GS222" s="8"/>
      <c r="GT222" s="8"/>
      <c r="HC222" s="9"/>
    </row>
    <row r="223" ht="15.75" customHeight="1">
      <c r="A223" s="1"/>
      <c r="D223" s="9"/>
      <c r="G223" s="9"/>
      <c r="J223" s="9"/>
      <c r="M223" s="9"/>
      <c r="P223" s="9"/>
      <c r="V223" s="9"/>
      <c r="Y223" s="9"/>
      <c r="AB223" s="9"/>
      <c r="AE223" s="9"/>
      <c r="AH223" s="9"/>
      <c r="AI223" s="10"/>
      <c r="AK223" s="9"/>
      <c r="AO223" s="23"/>
      <c r="AP223" s="23"/>
      <c r="AX223" s="24"/>
      <c r="AY223" s="24"/>
      <c r="BA223" s="8"/>
      <c r="BB223" s="8"/>
      <c r="BH223" s="23"/>
      <c r="BJ223" s="23"/>
      <c r="BK223" s="23"/>
      <c r="BM223" s="10"/>
      <c r="BN223" s="10"/>
      <c r="BP223" s="8"/>
      <c r="BQ223" s="8"/>
      <c r="BV223" s="23"/>
      <c r="BW223" s="23"/>
      <c r="BY223" s="8"/>
      <c r="BZ223" s="8"/>
      <c r="CA223" s="9"/>
      <c r="CB223" s="23"/>
      <c r="CC223" s="23"/>
      <c r="CD223" s="9"/>
      <c r="CG223" s="9"/>
      <c r="CJ223" s="9"/>
      <c r="CM223" s="9"/>
      <c r="CP223" s="9"/>
      <c r="CS223" s="9"/>
      <c r="CV223" s="9"/>
      <c r="CY223" s="9"/>
      <c r="DB223" s="9"/>
      <c r="DE223" s="9"/>
      <c r="DH223" s="9"/>
      <c r="DK223" s="9"/>
      <c r="DN223" s="9"/>
      <c r="DQ223" s="9"/>
      <c r="DT223" s="9"/>
      <c r="DW223" s="9"/>
      <c r="DX223" s="8"/>
      <c r="DY223" s="8"/>
      <c r="DZ223" s="9"/>
      <c r="EA223" s="8"/>
      <c r="EC223" s="9"/>
      <c r="EF223" s="9"/>
      <c r="EI223" s="9"/>
      <c r="EL223" s="9"/>
      <c r="EO223" s="9"/>
      <c r="ER223" s="9"/>
      <c r="EU223" s="9"/>
      <c r="EX223" s="9"/>
      <c r="FA223" s="9"/>
      <c r="FD223" s="9"/>
      <c r="FG223" s="9"/>
      <c r="FJ223" s="9"/>
      <c r="FK223" s="8"/>
      <c r="FM223" s="9"/>
      <c r="FP223" s="9"/>
      <c r="FS223" s="9"/>
      <c r="FY223" s="9"/>
      <c r="GC223" s="8"/>
      <c r="GD223" s="8"/>
      <c r="GE223" s="9"/>
      <c r="GF223" s="8"/>
      <c r="GG223" s="8"/>
      <c r="GH223" s="9"/>
      <c r="GK223" s="9"/>
      <c r="GS223" s="8"/>
      <c r="GT223" s="8"/>
      <c r="HC223" s="9"/>
    </row>
    <row r="224" ht="15.75" customHeight="1">
      <c r="A224" s="1"/>
      <c r="D224" s="9"/>
      <c r="G224" s="9"/>
      <c r="J224" s="9"/>
      <c r="M224" s="9"/>
      <c r="P224" s="9"/>
      <c r="V224" s="9"/>
      <c r="Y224" s="9"/>
      <c r="AB224" s="9"/>
      <c r="AE224" s="9"/>
      <c r="AH224" s="9"/>
      <c r="AI224" s="10"/>
      <c r="AK224" s="9"/>
      <c r="AO224" s="23"/>
      <c r="AP224" s="23"/>
      <c r="AX224" s="24"/>
      <c r="AY224" s="24"/>
      <c r="BA224" s="8"/>
      <c r="BB224" s="8"/>
      <c r="BH224" s="23"/>
      <c r="BJ224" s="23"/>
      <c r="BK224" s="23"/>
      <c r="BM224" s="10"/>
      <c r="BN224" s="10"/>
      <c r="BP224" s="8"/>
      <c r="BQ224" s="8"/>
      <c r="BV224" s="23"/>
      <c r="BW224" s="23"/>
      <c r="BY224" s="8"/>
      <c r="BZ224" s="8"/>
      <c r="CA224" s="9"/>
      <c r="CB224" s="23"/>
      <c r="CC224" s="23"/>
      <c r="CD224" s="9"/>
      <c r="CG224" s="9"/>
      <c r="CJ224" s="9"/>
      <c r="CM224" s="9"/>
      <c r="CP224" s="9"/>
      <c r="CS224" s="9"/>
      <c r="CV224" s="9"/>
      <c r="CY224" s="9"/>
      <c r="DB224" s="9"/>
      <c r="DE224" s="9"/>
      <c r="DH224" s="9"/>
      <c r="DK224" s="9"/>
      <c r="DN224" s="9"/>
      <c r="DQ224" s="9"/>
      <c r="DT224" s="9"/>
      <c r="DW224" s="9"/>
      <c r="DX224" s="8"/>
      <c r="DY224" s="8"/>
      <c r="DZ224" s="9"/>
      <c r="EA224" s="8"/>
      <c r="EC224" s="9"/>
      <c r="EF224" s="9"/>
      <c r="EI224" s="9"/>
      <c r="EL224" s="9"/>
      <c r="EO224" s="9"/>
      <c r="ER224" s="9"/>
      <c r="EU224" s="9"/>
      <c r="EX224" s="9"/>
      <c r="FA224" s="9"/>
      <c r="FD224" s="9"/>
      <c r="FG224" s="9"/>
      <c r="FJ224" s="9"/>
      <c r="FK224" s="8"/>
      <c r="FM224" s="9"/>
      <c r="FP224" s="9"/>
      <c r="FS224" s="9"/>
      <c r="FY224" s="9"/>
      <c r="GC224" s="8"/>
      <c r="GD224" s="8"/>
      <c r="GE224" s="9"/>
      <c r="GF224" s="8"/>
      <c r="GG224" s="8"/>
      <c r="GH224" s="9"/>
      <c r="GK224" s="9"/>
      <c r="GS224" s="8"/>
      <c r="GT224" s="8"/>
      <c r="HC224" s="9"/>
    </row>
    <row r="225" ht="15.75" customHeight="1">
      <c r="A225" s="1"/>
      <c r="D225" s="9"/>
      <c r="G225" s="9"/>
      <c r="J225" s="9"/>
      <c r="M225" s="9"/>
      <c r="P225" s="9"/>
      <c r="V225" s="9"/>
      <c r="Y225" s="9"/>
      <c r="AB225" s="9"/>
      <c r="AE225" s="9"/>
      <c r="AH225" s="9"/>
      <c r="AI225" s="10"/>
      <c r="AK225" s="9"/>
      <c r="AO225" s="23"/>
      <c r="AP225" s="23"/>
      <c r="AX225" s="24"/>
      <c r="AY225" s="24"/>
      <c r="BA225" s="8"/>
      <c r="BB225" s="8"/>
      <c r="BH225" s="23"/>
      <c r="BJ225" s="23"/>
      <c r="BK225" s="23"/>
      <c r="BM225" s="10"/>
      <c r="BN225" s="10"/>
      <c r="BP225" s="8"/>
      <c r="BQ225" s="8"/>
      <c r="BV225" s="23"/>
      <c r="BW225" s="23"/>
      <c r="BY225" s="8"/>
      <c r="BZ225" s="8"/>
      <c r="CA225" s="9"/>
      <c r="CB225" s="23"/>
      <c r="CC225" s="23"/>
      <c r="CD225" s="9"/>
      <c r="CG225" s="9"/>
      <c r="CJ225" s="9"/>
      <c r="CM225" s="9"/>
      <c r="CP225" s="9"/>
      <c r="CS225" s="9"/>
      <c r="CV225" s="9"/>
      <c r="CY225" s="9"/>
      <c r="DB225" s="9"/>
      <c r="DE225" s="9"/>
      <c r="DH225" s="9"/>
      <c r="DK225" s="9"/>
      <c r="DN225" s="9"/>
      <c r="DQ225" s="9"/>
      <c r="DT225" s="9"/>
      <c r="DW225" s="9"/>
      <c r="DX225" s="8"/>
      <c r="DY225" s="8"/>
      <c r="DZ225" s="9"/>
      <c r="EA225" s="8"/>
      <c r="EC225" s="9"/>
      <c r="EF225" s="9"/>
      <c r="EI225" s="9"/>
      <c r="EL225" s="9"/>
      <c r="EO225" s="9"/>
      <c r="ER225" s="9"/>
      <c r="EU225" s="9"/>
      <c r="EX225" s="9"/>
      <c r="FA225" s="9"/>
      <c r="FD225" s="9"/>
      <c r="FG225" s="9"/>
      <c r="FJ225" s="9"/>
      <c r="FK225" s="8"/>
      <c r="FM225" s="9"/>
      <c r="FP225" s="9"/>
      <c r="FS225" s="9"/>
      <c r="FY225" s="9"/>
      <c r="GC225" s="8"/>
      <c r="GD225" s="8"/>
      <c r="GE225" s="9"/>
      <c r="GF225" s="8"/>
      <c r="GG225" s="8"/>
      <c r="GH225" s="9"/>
      <c r="GK225" s="9"/>
      <c r="GS225" s="8"/>
      <c r="GT225" s="8"/>
      <c r="HC225" s="9"/>
    </row>
    <row r="226" ht="15.75" customHeight="1">
      <c r="A226" s="1"/>
      <c r="D226" s="9"/>
      <c r="G226" s="9"/>
      <c r="J226" s="9"/>
      <c r="M226" s="9"/>
      <c r="P226" s="9"/>
      <c r="V226" s="9"/>
      <c r="Y226" s="9"/>
      <c r="AB226" s="9"/>
      <c r="AE226" s="9"/>
      <c r="AH226" s="9"/>
      <c r="AI226" s="10"/>
      <c r="AK226" s="9"/>
      <c r="AO226" s="23"/>
      <c r="AP226" s="23"/>
      <c r="AX226" s="24"/>
      <c r="AY226" s="24"/>
      <c r="BA226" s="8"/>
      <c r="BB226" s="8"/>
      <c r="BH226" s="23"/>
      <c r="BJ226" s="23"/>
      <c r="BK226" s="23"/>
      <c r="BM226" s="10"/>
      <c r="BN226" s="10"/>
      <c r="BP226" s="8"/>
      <c r="BQ226" s="8"/>
      <c r="BV226" s="23"/>
      <c r="BW226" s="23"/>
      <c r="BY226" s="8"/>
      <c r="BZ226" s="8"/>
      <c r="CA226" s="9"/>
      <c r="CB226" s="23"/>
      <c r="CC226" s="23"/>
      <c r="CD226" s="9"/>
      <c r="CG226" s="9"/>
      <c r="CJ226" s="9"/>
      <c r="CM226" s="9"/>
      <c r="CP226" s="9"/>
      <c r="CS226" s="9"/>
      <c r="CV226" s="9"/>
      <c r="CY226" s="9"/>
      <c r="DB226" s="9"/>
      <c r="DE226" s="9"/>
      <c r="DH226" s="9"/>
      <c r="DK226" s="9"/>
      <c r="DN226" s="9"/>
      <c r="DQ226" s="9"/>
      <c r="DT226" s="9"/>
      <c r="DW226" s="9"/>
      <c r="DX226" s="8"/>
      <c r="DY226" s="8"/>
      <c r="DZ226" s="9"/>
      <c r="EA226" s="8"/>
      <c r="EC226" s="9"/>
      <c r="EF226" s="9"/>
      <c r="EI226" s="9"/>
      <c r="EL226" s="9"/>
      <c r="EO226" s="9"/>
      <c r="ER226" s="9"/>
      <c r="EU226" s="9"/>
      <c r="EX226" s="9"/>
      <c r="FA226" s="9"/>
      <c r="FD226" s="9"/>
      <c r="FG226" s="9"/>
      <c r="FJ226" s="9"/>
      <c r="FK226" s="8"/>
      <c r="FM226" s="9"/>
      <c r="FP226" s="9"/>
      <c r="FS226" s="9"/>
      <c r="FY226" s="9"/>
      <c r="GC226" s="8"/>
      <c r="GD226" s="8"/>
      <c r="GE226" s="9"/>
      <c r="GF226" s="8"/>
      <c r="GG226" s="8"/>
      <c r="GH226" s="9"/>
      <c r="GK226" s="9"/>
      <c r="GS226" s="8"/>
      <c r="GT226" s="8"/>
      <c r="HC226" s="9"/>
    </row>
    <row r="227" ht="15.75" customHeight="1">
      <c r="A227" s="1"/>
      <c r="D227" s="9"/>
      <c r="G227" s="9"/>
      <c r="J227" s="9"/>
      <c r="M227" s="9"/>
      <c r="P227" s="9"/>
      <c r="V227" s="9"/>
      <c r="Y227" s="9"/>
      <c r="AB227" s="9"/>
      <c r="AE227" s="9"/>
      <c r="AH227" s="9"/>
      <c r="AI227" s="10"/>
      <c r="AK227" s="9"/>
      <c r="AO227" s="23"/>
      <c r="AP227" s="23"/>
      <c r="AX227" s="24"/>
      <c r="AY227" s="24"/>
      <c r="BA227" s="8"/>
      <c r="BB227" s="8"/>
      <c r="BH227" s="23"/>
      <c r="BJ227" s="23"/>
      <c r="BK227" s="23"/>
      <c r="BM227" s="10"/>
      <c r="BN227" s="10"/>
      <c r="BP227" s="8"/>
      <c r="BQ227" s="8"/>
      <c r="BV227" s="23"/>
      <c r="BW227" s="23"/>
      <c r="BY227" s="8"/>
      <c r="BZ227" s="8"/>
      <c r="CA227" s="9"/>
      <c r="CB227" s="23"/>
      <c r="CC227" s="23"/>
      <c r="CD227" s="9"/>
      <c r="CG227" s="9"/>
      <c r="CJ227" s="9"/>
      <c r="CM227" s="9"/>
      <c r="CP227" s="9"/>
      <c r="CS227" s="9"/>
      <c r="CV227" s="9"/>
      <c r="CY227" s="9"/>
      <c r="DB227" s="9"/>
      <c r="DE227" s="9"/>
      <c r="DH227" s="9"/>
      <c r="DK227" s="9"/>
      <c r="DN227" s="9"/>
      <c r="DQ227" s="9"/>
      <c r="DT227" s="9"/>
      <c r="DW227" s="9"/>
      <c r="DX227" s="8"/>
      <c r="DY227" s="8"/>
      <c r="DZ227" s="9"/>
      <c r="EA227" s="8"/>
      <c r="EC227" s="9"/>
      <c r="EF227" s="9"/>
      <c r="EI227" s="9"/>
      <c r="EL227" s="9"/>
      <c r="EO227" s="9"/>
      <c r="ER227" s="9"/>
      <c r="EU227" s="9"/>
      <c r="EX227" s="9"/>
      <c r="FA227" s="9"/>
      <c r="FD227" s="9"/>
      <c r="FG227" s="9"/>
      <c r="FJ227" s="9"/>
      <c r="FK227" s="8"/>
      <c r="FM227" s="9"/>
      <c r="FP227" s="9"/>
      <c r="FS227" s="9"/>
      <c r="FY227" s="9"/>
      <c r="GC227" s="8"/>
      <c r="GD227" s="8"/>
      <c r="GE227" s="9"/>
      <c r="GF227" s="8"/>
      <c r="GG227" s="8"/>
      <c r="GH227" s="9"/>
      <c r="GK227" s="9"/>
      <c r="GS227" s="8"/>
      <c r="GT227" s="8"/>
      <c r="HC227" s="9"/>
    </row>
    <row r="228" ht="15.75" customHeight="1">
      <c r="A228" s="1"/>
      <c r="D228" s="9"/>
      <c r="G228" s="9"/>
      <c r="J228" s="9"/>
      <c r="M228" s="9"/>
      <c r="P228" s="9"/>
      <c r="V228" s="9"/>
      <c r="Y228" s="9"/>
      <c r="AB228" s="9"/>
      <c r="AE228" s="9"/>
      <c r="AH228" s="9"/>
      <c r="AI228" s="10"/>
      <c r="AK228" s="9"/>
      <c r="AO228" s="23"/>
      <c r="AP228" s="23"/>
      <c r="AX228" s="24"/>
      <c r="AY228" s="24"/>
      <c r="BA228" s="8"/>
      <c r="BB228" s="8"/>
      <c r="BH228" s="23"/>
      <c r="BJ228" s="23"/>
      <c r="BK228" s="23"/>
      <c r="BM228" s="10"/>
      <c r="BN228" s="10"/>
      <c r="BP228" s="8"/>
      <c r="BQ228" s="8"/>
      <c r="BV228" s="23"/>
      <c r="BW228" s="23"/>
      <c r="BY228" s="8"/>
      <c r="BZ228" s="8"/>
      <c r="CA228" s="9"/>
      <c r="CB228" s="23"/>
      <c r="CC228" s="23"/>
      <c r="CD228" s="9"/>
      <c r="CG228" s="9"/>
      <c r="CJ228" s="9"/>
      <c r="CM228" s="9"/>
      <c r="CP228" s="9"/>
      <c r="CS228" s="9"/>
      <c r="CV228" s="9"/>
      <c r="CY228" s="9"/>
      <c r="DB228" s="9"/>
      <c r="DE228" s="9"/>
      <c r="DH228" s="9"/>
      <c r="DK228" s="9"/>
      <c r="DN228" s="9"/>
      <c r="DQ228" s="9"/>
      <c r="DT228" s="9"/>
      <c r="DW228" s="9"/>
      <c r="DX228" s="8"/>
      <c r="DY228" s="8"/>
      <c r="DZ228" s="9"/>
      <c r="EA228" s="8"/>
      <c r="EC228" s="9"/>
      <c r="EF228" s="9"/>
      <c r="EI228" s="9"/>
      <c r="EL228" s="9"/>
      <c r="EO228" s="9"/>
      <c r="ER228" s="9"/>
      <c r="EU228" s="9"/>
      <c r="EX228" s="9"/>
      <c r="FA228" s="9"/>
      <c r="FD228" s="9"/>
      <c r="FG228" s="9"/>
      <c r="FJ228" s="9"/>
      <c r="FK228" s="8"/>
      <c r="FM228" s="9"/>
      <c r="FP228" s="9"/>
      <c r="FS228" s="9"/>
      <c r="FY228" s="9"/>
      <c r="GC228" s="8"/>
      <c r="GD228" s="8"/>
      <c r="GE228" s="9"/>
      <c r="GF228" s="8"/>
      <c r="GG228" s="8"/>
      <c r="GH228" s="9"/>
      <c r="GK228" s="9"/>
      <c r="GS228" s="8"/>
      <c r="GT228" s="8"/>
      <c r="HC228" s="9"/>
    </row>
    <row r="229" ht="15.75" customHeight="1">
      <c r="A229" s="1"/>
      <c r="D229" s="9"/>
      <c r="G229" s="9"/>
      <c r="J229" s="9"/>
      <c r="M229" s="9"/>
      <c r="P229" s="9"/>
      <c r="V229" s="9"/>
      <c r="Y229" s="9"/>
      <c r="AB229" s="9"/>
      <c r="AE229" s="9"/>
      <c r="AH229" s="9"/>
      <c r="AI229" s="10"/>
      <c r="AK229" s="9"/>
      <c r="AO229" s="23"/>
      <c r="AP229" s="23"/>
      <c r="AX229" s="24"/>
      <c r="AY229" s="24"/>
      <c r="BA229" s="8"/>
      <c r="BB229" s="8"/>
      <c r="BH229" s="23"/>
      <c r="BJ229" s="23"/>
      <c r="BK229" s="23"/>
      <c r="BM229" s="10"/>
      <c r="BN229" s="10"/>
      <c r="BP229" s="8"/>
      <c r="BQ229" s="8"/>
      <c r="BV229" s="23"/>
      <c r="BW229" s="23"/>
      <c r="BY229" s="8"/>
      <c r="BZ229" s="8"/>
      <c r="CA229" s="9"/>
      <c r="CB229" s="23"/>
      <c r="CC229" s="23"/>
      <c r="CD229" s="9"/>
      <c r="CG229" s="9"/>
      <c r="CJ229" s="9"/>
      <c r="CM229" s="9"/>
      <c r="CP229" s="9"/>
      <c r="CS229" s="9"/>
      <c r="CV229" s="9"/>
      <c r="CY229" s="9"/>
      <c r="DB229" s="9"/>
      <c r="DE229" s="9"/>
      <c r="DH229" s="9"/>
      <c r="DK229" s="9"/>
      <c r="DN229" s="9"/>
      <c r="DQ229" s="9"/>
      <c r="DT229" s="9"/>
      <c r="DW229" s="9"/>
      <c r="DX229" s="8"/>
      <c r="DY229" s="8"/>
      <c r="DZ229" s="9"/>
      <c r="EA229" s="8"/>
      <c r="EC229" s="9"/>
      <c r="EF229" s="9"/>
      <c r="EI229" s="9"/>
      <c r="EL229" s="9"/>
      <c r="EO229" s="9"/>
      <c r="ER229" s="9"/>
      <c r="EU229" s="9"/>
      <c r="EX229" s="9"/>
      <c r="FA229" s="9"/>
      <c r="FD229" s="9"/>
      <c r="FG229" s="9"/>
      <c r="FJ229" s="9"/>
      <c r="FK229" s="8"/>
      <c r="FM229" s="9"/>
      <c r="FP229" s="9"/>
      <c r="FS229" s="9"/>
      <c r="FY229" s="9"/>
      <c r="GC229" s="8"/>
      <c r="GD229" s="8"/>
      <c r="GE229" s="9"/>
      <c r="GF229" s="8"/>
      <c r="GG229" s="8"/>
      <c r="GH229" s="9"/>
      <c r="GK229" s="9"/>
      <c r="GS229" s="8"/>
      <c r="GT229" s="8"/>
      <c r="HC229" s="9"/>
    </row>
    <row r="230" ht="15.75" customHeight="1">
      <c r="A230" s="1"/>
      <c r="D230" s="9"/>
      <c r="G230" s="9"/>
      <c r="J230" s="9"/>
      <c r="M230" s="9"/>
      <c r="P230" s="9"/>
      <c r="V230" s="9"/>
      <c r="Y230" s="9"/>
      <c r="AB230" s="9"/>
      <c r="AE230" s="9"/>
      <c r="AH230" s="9"/>
      <c r="AI230" s="10"/>
      <c r="AK230" s="9"/>
      <c r="AO230" s="23"/>
      <c r="AP230" s="23"/>
      <c r="AX230" s="24"/>
      <c r="AY230" s="24"/>
      <c r="BA230" s="8"/>
      <c r="BB230" s="8"/>
      <c r="BH230" s="23"/>
      <c r="BJ230" s="23"/>
      <c r="BK230" s="23"/>
      <c r="BM230" s="10"/>
      <c r="BN230" s="10"/>
      <c r="BP230" s="8"/>
      <c r="BQ230" s="8"/>
      <c r="BV230" s="23"/>
      <c r="BW230" s="23"/>
      <c r="BY230" s="8"/>
      <c r="BZ230" s="8"/>
      <c r="CA230" s="9"/>
      <c r="CB230" s="23"/>
      <c r="CC230" s="23"/>
      <c r="CD230" s="9"/>
      <c r="CG230" s="9"/>
      <c r="CJ230" s="9"/>
      <c r="CM230" s="9"/>
      <c r="CP230" s="9"/>
      <c r="CS230" s="9"/>
      <c r="CV230" s="9"/>
      <c r="CY230" s="9"/>
      <c r="DB230" s="9"/>
      <c r="DE230" s="9"/>
      <c r="DH230" s="9"/>
      <c r="DK230" s="9"/>
      <c r="DN230" s="9"/>
      <c r="DQ230" s="9"/>
      <c r="DT230" s="9"/>
      <c r="DW230" s="9"/>
      <c r="DX230" s="8"/>
      <c r="DY230" s="8"/>
      <c r="DZ230" s="9"/>
      <c r="EA230" s="8"/>
      <c r="EC230" s="9"/>
      <c r="EF230" s="9"/>
      <c r="EI230" s="9"/>
      <c r="EL230" s="9"/>
      <c r="EO230" s="9"/>
      <c r="ER230" s="9"/>
      <c r="EU230" s="9"/>
      <c r="EX230" s="9"/>
      <c r="FA230" s="9"/>
      <c r="FD230" s="9"/>
      <c r="FG230" s="9"/>
      <c r="FJ230" s="9"/>
      <c r="FK230" s="8"/>
      <c r="FM230" s="9"/>
      <c r="FP230" s="9"/>
      <c r="FS230" s="9"/>
      <c r="FY230" s="9"/>
      <c r="GC230" s="8"/>
      <c r="GD230" s="8"/>
      <c r="GE230" s="9"/>
      <c r="GF230" s="8"/>
      <c r="GG230" s="8"/>
      <c r="GH230" s="9"/>
      <c r="GK230" s="9"/>
      <c r="GS230" s="8"/>
      <c r="GT230" s="8"/>
      <c r="HC230" s="9"/>
    </row>
    <row r="231" ht="15.75" customHeight="1">
      <c r="A231" s="1"/>
      <c r="D231" s="9"/>
      <c r="G231" s="9"/>
      <c r="J231" s="9"/>
      <c r="M231" s="9"/>
      <c r="P231" s="9"/>
      <c r="V231" s="9"/>
      <c r="Y231" s="9"/>
      <c r="AB231" s="9"/>
      <c r="AE231" s="9"/>
      <c r="AH231" s="9"/>
      <c r="AI231" s="10"/>
      <c r="AK231" s="9"/>
      <c r="AO231" s="23"/>
      <c r="AP231" s="23"/>
      <c r="AX231" s="24"/>
      <c r="AY231" s="24"/>
      <c r="BA231" s="8"/>
      <c r="BB231" s="8"/>
      <c r="BH231" s="23"/>
      <c r="BJ231" s="23"/>
      <c r="BK231" s="23"/>
      <c r="BM231" s="10"/>
      <c r="BN231" s="10"/>
      <c r="BP231" s="8"/>
      <c r="BQ231" s="8"/>
      <c r="BV231" s="23"/>
      <c r="BW231" s="23"/>
      <c r="BY231" s="8"/>
      <c r="BZ231" s="8"/>
      <c r="CA231" s="9"/>
      <c r="CB231" s="23"/>
      <c r="CC231" s="23"/>
      <c r="CD231" s="9"/>
      <c r="CG231" s="9"/>
      <c r="CJ231" s="9"/>
      <c r="CM231" s="9"/>
      <c r="CP231" s="9"/>
      <c r="CS231" s="9"/>
      <c r="CV231" s="9"/>
      <c r="CY231" s="9"/>
      <c r="DB231" s="9"/>
      <c r="DE231" s="9"/>
      <c r="DH231" s="9"/>
      <c r="DK231" s="9"/>
      <c r="DN231" s="9"/>
      <c r="DQ231" s="9"/>
      <c r="DT231" s="9"/>
      <c r="DW231" s="9"/>
      <c r="DX231" s="8"/>
      <c r="DY231" s="8"/>
      <c r="DZ231" s="9"/>
      <c r="EA231" s="8"/>
      <c r="EC231" s="9"/>
      <c r="EF231" s="9"/>
      <c r="EI231" s="9"/>
      <c r="EL231" s="9"/>
      <c r="EO231" s="9"/>
      <c r="ER231" s="9"/>
      <c r="EU231" s="9"/>
      <c r="EX231" s="9"/>
      <c r="FA231" s="9"/>
      <c r="FD231" s="9"/>
      <c r="FG231" s="9"/>
      <c r="FJ231" s="9"/>
      <c r="FK231" s="8"/>
      <c r="FM231" s="9"/>
      <c r="FP231" s="9"/>
      <c r="FS231" s="9"/>
      <c r="FY231" s="9"/>
      <c r="GC231" s="8"/>
      <c r="GD231" s="8"/>
      <c r="GE231" s="9"/>
      <c r="GF231" s="8"/>
      <c r="GG231" s="8"/>
      <c r="GH231" s="9"/>
      <c r="GK231" s="9"/>
      <c r="GS231" s="8"/>
      <c r="GT231" s="8"/>
      <c r="HC231" s="9"/>
    </row>
    <row r="232" ht="15.75" customHeight="1">
      <c r="A232" s="1"/>
      <c r="D232" s="9"/>
      <c r="G232" s="9"/>
      <c r="J232" s="9"/>
      <c r="M232" s="9"/>
      <c r="P232" s="9"/>
      <c r="V232" s="9"/>
      <c r="Y232" s="9"/>
      <c r="AB232" s="9"/>
      <c r="AE232" s="9"/>
      <c r="AH232" s="9"/>
      <c r="AI232" s="10"/>
      <c r="AK232" s="9"/>
      <c r="AO232" s="23"/>
      <c r="AP232" s="23"/>
      <c r="AX232" s="24"/>
      <c r="AY232" s="24"/>
      <c r="BA232" s="8"/>
      <c r="BB232" s="8"/>
      <c r="BH232" s="23"/>
      <c r="BJ232" s="23"/>
      <c r="BK232" s="23"/>
      <c r="BM232" s="10"/>
      <c r="BN232" s="10"/>
      <c r="BP232" s="8"/>
      <c r="BQ232" s="8"/>
      <c r="BV232" s="23"/>
      <c r="BW232" s="23"/>
      <c r="BY232" s="8"/>
      <c r="BZ232" s="8"/>
      <c r="CA232" s="9"/>
      <c r="CB232" s="23"/>
      <c r="CC232" s="23"/>
      <c r="CD232" s="9"/>
      <c r="CG232" s="9"/>
      <c r="CJ232" s="9"/>
      <c r="CM232" s="9"/>
      <c r="CP232" s="9"/>
      <c r="CS232" s="9"/>
      <c r="CV232" s="9"/>
      <c r="CY232" s="9"/>
      <c r="DB232" s="9"/>
      <c r="DE232" s="9"/>
      <c r="DH232" s="9"/>
      <c r="DK232" s="9"/>
      <c r="DN232" s="9"/>
      <c r="DQ232" s="9"/>
      <c r="DT232" s="9"/>
      <c r="DW232" s="9"/>
      <c r="DX232" s="8"/>
      <c r="DY232" s="8"/>
      <c r="DZ232" s="9"/>
      <c r="EA232" s="8"/>
      <c r="EC232" s="9"/>
      <c r="EF232" s="9"/>
      <c r="EI232" s="9"/>
      <c r="EL232" s="9"/>
      <c r="EO232" s="9"/>
      <c r="ER232" s="9"/>
      <c r="EU232" s="9"/>
      <c r="EX232" s="9"/>
      <c r="FA232" s="9"/>
      <c r="FD232" s="9"/>
      <c r="FG232" s="9"/>
      <c r="FJ232" s="9"/>
      <c r="FK232" s="8"/>
      <c r="FM232" s="9"/>
      <c r="FP232" s="9"/>
      <c r="FS232" s="9"/>
      <c r="FY232" s="9"/>
      <c r="GC232" s="8"/>
      <c r="GD232" s="8"/>
      <c r="GE232" s="9"/>
      <c r="GF232" s="8"/>
      <c r="GG232" s="8"/>
      <c r="GH232" s="9"/>
      <c r="GK232" s="9"/>
      <c r="GS232" s="8"/>
      <c r="GT232" s="8"/>
      <c r="HC232" s="9"/>
    </row>
    <row r="233" ht="15.75" customHeight="1">
      <c r="A233" s="1"/>
      <c r="D233" s="9"/>
      <c r="G233" s="9"/>
      <c r="J233" s="9"/>
      <c r="M233" s="9"/>
      <c r="P233" s="9"/>
      <c r="V233" s="9"/>
      <c r="Y233" s="9"/>
      <c r="AB233" s="9"/>
      <c r="AE233" s="9"/>
      <c r="AH233" s="9"/>
      <c r="AI233" s="10"/>
      <c r="AK233" s="9"/>
      <c r="AO233" s="23"/>
      <c r="AP233" s="23"/>
      <c r="AX233" s="24"/>
      <c r="AY233" s="24"/>
      <c r="BA233" s="8"/>
      <c r="BB233" s="8"/>
      <c r="BH233" s="23"/>
      <c r="BJ233" s="23"/>
      <c r="BK233" s="23"/>
      <c r="BM233" s="10"/>
      <c r="BN233" s="10"/>
      <c r="BP233" s="8"/>
      <c r="BQ233" s="8"/>
      <c r="BV233" s="23"/>
      <c r="BW233" s="23"/>
      <c r="BY233" s="8"/>
      <c r="BZ233" s="8"/>
      <c r="CA233" s="9"/>
      <c r="CB233" s="23"/>
      <c r="CC233" s="23"/>
      <c r="CD233" s="9"/>
      <c r="CG233" s="9"/>
      <c r="CJ233" s="9"/>
      <c r="CM233" s="9"/>
      <c r="CP233" s="9"/>
      <c r="CS233" s="9"/>
      <c r="CV233" s="9"/>
      <c r="CY233" s="9"/>
      <c r="DB233" s="9"/>
      <c r="DE233" s="9"/>
      <c r="DH233" s="9"/>
      <c r="DK233" s="9"/>
      <c r="DN233" s="9"/>
      <c r="DQ233" s="9"/>
      <c r="DT233" s="9"/>
      <c r="DW233" s="9"/>
      <c r="DX233" s="8"/>
      <c r="DY233" s="8"/>
      <c r="DZ233" s="9"/>
      <c r="EA233" s="8"/>
      <c r="EC233" s="9"/>
      <c r="EF233" s="9"/>
      <c r="EI233" s="9"/>
      <c r="EL233" s="9"/>
      <c r="EO233" s="9"/>
      <c r="ER233" s="9"/>
      <c r="EU233" s="9"/>
      <c r="EX233" s="9"/>
      <c r="FA233" s="9"/>
      <c r="FD233" s="9"/>
      <c r="FG233" s="9"/>
      <c r="FJ233" s="9"/>
      <c r="FK233" s="8"/>
      <c r="FM233" s="9"/>
      <c r="FP233" s="9"/>
      <c r="FS233" s="9"/>
      <c r="FY233" s="9"/>
      <c r="GC233" s="8"/>
      <c r="GD233" s="8"/>
      <c r="GE233" s="9"/>
      <c r="GF233" s="8"/>
      <c r="GG233" s="8"/>
      <c r="GH233" s="9"/>
      <c r="GK233" s="9"/>
      <c r="GS233" s="8"/>
      <c r="GT233" s="8"/>
      <c r="HC233" s="9"/>
    </row>
    <row r="234" ht="15.75" customHeight="1">
      <c r="A234" s="1"/>
      <c r="D234" s="9"/>
      <c r="G234" s="9"/>
      <c r="J234" s="9"/>
      <c r="M234" s="9"/>
      <c r="P234" s="9"/>
      <c r="V234" s="9"/>
      <c r="Y234" s="9"/>
      <c r="AB234" s="9"/>
      <c r="AE234" s="9"/>
      <c r="AH234" s="9"/>
      <c r="AI234" s="10"/>
      <c r="AK234" s="9"/>
      <c r="AO234" s="23"/>
      <c r="AP234" s="23"/>
      <c r="AX234" s="24"/>
      <c r="AY234" s="24"/>
      <c r="BA234" s="8"/>
      <c r="BB234" s="8"/>
      <c r="BH234" s="23"/>
      <c r="BJ234" s="23"/>
      <c r="BK234" s="23"/>
      <c r="BM234" s="10"/>
      <c r="BN234" s="10"/>
      <c r="BP234" s="8"/>
      <c r="BQ234" s="8"/>
      <c r="BV234" s="23"/>
      <c r="BW234" s="23"/>
      <c r="BY234" s="8"/>
      <c r="BZ234" s="8"/>
      <c r="CA234" s="9"/>
      <c r="CB234" s="23"/>
      <c r="CC234" s="23"/>
      <c r="CD234" s="9"/>
      <c r="CG234" s="9"/>
      <c r="CJ234" s="9"/>
      <c r="CM234" s="9"/>
      <c r="CP234" s="9"/>
      <c r="CS234" s="9"/>
      <c r="CV234" s="9"/>
      <c r="CY234" s="9"/>
      <c r="DB234" s="9"/>
      <c r="DE234" s="9"/>
      <c r="DH234" s="9"/>
      <c r="DK234" s="9"/>
      <c r="DN234" s="9"/>
      <c r="DQ234" s="9"/>
      <c r="DT234" s="9"/>
      <c r="DW234" s="9"/>
      <c r="DX234" s="8"/>
      <c r="DY234" s="8"/>
      <c r="DZ234" s="9"/>
      <c r="EA234" s="8"/>
      <c r="EC234" s="9"/>
      <c r="EF234" s="9"/>
      <c r="EI234" s="9"/>
      <c r="EL234" s="9"/>
      <c r="EO234" s="9"/>
      <c r="ER234" s="9"/>
      <c r="EU234" s="9"/>
      <c r="EX234" s="9"/>
      <c r="FA234" s="9"/>
      <c r="FD234" s="9"/>
      <c r="FG234" s="9"/>
      <c r="FJ234" s="9"/>
      <c r="FK234" s="8"/>
      <c r="FM234" s="9"/>
      <c r="FP234" s="9"/>
      <c r="FS234" s="9"/>
      <c r="FY234" s="9"/>
      <c r="GC234" s="8"/>
      <c r="GD234" s="8"/>
      <c r="GE234" s="9"/>
      <c r="GF234" s="8"/>
      <c r="GG234" s="8"/>
      <c r="GH234" s="9"/>
      <c r="GK234" s="9"/>
      <c r="GS234" s="8"/>
      <c r="GT234" s="8"/>
      <c r="HC234" s="9"/>
    </row>
    <row r="235" ht="15.75" customHeight="1">
      <c r="A235" s="1"/>
      <c r="D235" s="9"/>
      <c r="G235" s="9"/>
      <c r="J235" s="9"/>
      <c r="M235" s="9"/>
      <c r="P235" s="9"/>
      <c r="V235" s="9"/>
      <c r="Y235" s="9"/>
      <c r="AB235" s="9"/>
      <c r="AE235" s="9"/>
      <c r="AH235" s="9"/>
      <c r="AI235" s="10"/>
      <c r="AK235" s="9"/>
      <c r="AO235" s="23"/>
      <c r="AP235" s="23"/>
      <c r="AX235" s="24"/>
      <c r="AY235" s="24"/>
      <c r="BA235" s="8"/>
      <c r="BB235" s="8"/>
      <c r="BH235" s="23"/>
      <c r="BJ235" s="23"/>
      <c r="BK235" s="23"/>
      <c r="BM235" s="10"/>
      <c r="BN235" s="10"/>
      <c r="BP235" s="8"/>
      <c r="BQ235" s="8"/>
      <c r="BV235" s="23"/>
      <c r="BW235" s="23"/>
      <c r="BY235" s="8"/>
      <c r="BZ235" s="8"/>
      <c r="CA235" s="9"/>
      <c r="CB235" s="23"/>
      <c r="CC235" s="23"/>
      <c r="CD235" s="9"/>
      <c r="CG235" s="9"/>
      <c r="CJ235" s="9"/>
      <c r="CM235" s="9"/>
      <c r="CP235" s="9"/>
      <c r="CS235" s="9"/>
      <c r="CV235" s="9"/>
      <c r="CY235" s="9"/>
      <c r="DB235" s="9"/>
      <c r="DE235" s="9"/>
      <c r="DH235" s="9"/>
      <c r="DK235" s="9"/>
      <c r="DN235" s="9"/>
      <c r="DQ235" s="9"/>
      <c r="DT235" s="9"/>
      <c r="DW235" s="9"/>
      <c r="DX235" s="8"/>
      <c r="DY235" s="8"/>
      <c r="DZ235" s="9"/>
      <c r="EA235" s="8"/>
      <c r="EC235" s="9"/>
      <c r="EF235" s="9"/>
      <c r="EI235" s="9"/>
      <c r="EL235" s="9"/>
      <c r="EO235" s="9"/>
      <c r="ER235" s="9"/>
      <c r="EU235" s="9"/>
      <c r="EX235" s="9"/>
      <c r="FA235" s="9"/>
      <c r="FD235" s="9"/>
      <c r="FG235" s="9"/>
      <c r="FJ235" s="9"/>
      <c r="FK235" s="8"/>
      <c r="FM235" s="9"/>
      <c r="FP235" s="9"/>
      <c r="FS235" s="9"/>
      <c r="FY235" s="9"/>
      <c r="GC235" s="8"/>
      <c r="GD235" s="8"/>
      <c r="GE235" s="9"/>
      <c r="GF235" s="8"/>
      <c r="GG235" s="8"/>
      <c r="GH235" s="9"/>
      <c r="GK235" s="9"/>
      <c r="GS235" s="8"/>
      <c r="GT235" s="8"/>
      <c r="HC235" s="9"/>
    </row>
    <row r="236" ht="15.75" customHeight="1">
      <c r="A236" s="1"/>
      <c r="D236" s="9"/>
      <c r="G236" s="9"/>
      <c r="J236" s="9"/>
      <c r="M236" s="9"/>
      <c r="P236" s="9"/>
      <c r="V236" s="9"/>
      <c r="Y236" s="9"/>
      <c r="AB236" s="9"/>
      <c r="AE236" s="9"/>
      <c r="AH236" s="9"/>
      <c r="AI236" s="10"/>
      <c r="AK236" s="9"/>
      <c r="AO236" s="23"/>
      <c r="AP236" s="23"/>
      <c r="AX236" s="24"/>
      <c r="AY236" s="24"/>
      <c r="BA236" s="8"/>
      <c r="BB236" s="8"/>
      <c r="BH236" s="23"/>
      <c r="BJ236" s="23"/>
      <c r="BK236" s="23"/>
      <c r="BM236" s="10"/>
      <c r="BN236" s="10"/>
      <c r="BP236" s="8"/>
      <c r="BQ236" s="8"/>
      <c r="BV236" s="23"/>
      <c r="BW236" s="23"/>
      <c r="BY236" s="8"/>
      <c r="BZ236" s="8"/>
      <c r="CA236" s="9"/>
      <c r="CB236" s="23"/>
      <c r="CC236" s="23"/>
      <c r="CD236" s="9"/>
      <c r="CG236" s="9"/>
      <c r="CJ236" s="9"/>
      <c r="CM236" s="9"/>
      <c r="CP236" s="9"/>
      <c r="CS236" s="9"/>
      <c r="CV236" s="9"/>
      <c r="CY236" s="9"/>
      <c r="DB236" s="9"/>
      <c r="DE236" s="9"/>
      <c r="DH236" s="9"/>
      <c r="DK236" s="9"/>
      <c r="DN236" s="9"/>
      <c r="DQ236" s="9"/>
      <c r="DT236" s="9"/>
      <c r="DW236" s="9"/>
      <c r="DX236" s="8"/>
      <c r="DY236" s="8"/>
      <c r="DZ236" s="9"/>
      <c r="EA236" s="8"/>
      <c r="EC236" s="9"/>
      <c r="EF236" s="9"/>
      <c r="EI236" s="9"/>
      <c r="EL236" s="9"/>
      <c r="EO236" s="9"/>
      <c r="ER236" s="9"/>
      <c r="EU236" s="9"/>
      <c r="EX236" s="9"/>
      <c r="FA236" s="9"/>
      <c r="FD236" s="9"/>
      <c r="FG236" s="9"/>
      <c r="FJ236" s="9"/>
      <c r="FK236" s="8"/>
      <c r="FM236" s="9"/>
      <c r="FP236" s="9"/>
      <c r="FS236" s="9"/>
      <c r="FY236" s="9"/>
      <c r="GC236" s="8"/>
      <c r="GD236" s="8"/>
      <c r="GE236" s="9"/>
      <c r="GF236" s="8"/>
      <c r="GG236" s="8"/>
      <c r="GH236" s="9"/>
      <c r="GK236" s="9"/>
      <c r="GS236" s="8"/>
      <c r="GT236" s="8"/>
      <c r="HC236" s="9"/>
    </row>
    <row r="237" ht="15.75" customHeight="1">
      <c r="A237" s="1"/>
      <c r="D237" s="9"/>
      <c r="G237" s="9"/>
      <c r="J237" s="9"/>
      <c r="M237" s="9"/>
      <c r="P237" s="9"/>
      <c r="V237" s="9"/>
      <c r="Y237" s="9"/>
      <c r="AB237" s="9"/>
      <c r="AE237" s="9"/>
      <c r="AH237" s="9"/>
      <c r="AI237" s="10"/>
      <c r="AK237" s="9"/>
      <c r="AO237" s="23"/>
      <c r="AP237" s="23"/>
      <c r="AX237" s="24"/>
      <c r="AY237" s="24"/>
      <c r="BA237" s="8"/>
      <c r="BB237" s="8"/>
      <c r="BH237" s="23"/>
      <c r="BJ237" s="23"/>
      <c r="BK237" s="23"/>
      <c r="BM237" s="10"/>
      <c r="BN237" s="10"/>
      <c r="BP237" s="8"/>
      <c r="BQ237" s="8"/>
      <c r="BV237" s="23"/>
      <c r="BW237" s="23"/>
      <c r="BY237" s="8"/>
      <c r="BZ237" s="8"/>
      <c r="CA237" s="9"/>
      <c r="CB237" s="23"/>
      <c r="CC237" s="23"/>
      <c r="CD237" s="9"/>
      <c r="CG237" s="9"/>
      <c r="CJ237" s="9"/>
      <c r="CM237" s="9"/>
      <c r="CP237" s="9"/>
      <c r="CS237" s="9"/>
      <c r="CV237" s="9"/>
      <c r="CY237" s="9"/>
      <c r="DB237" s="9"/>
      <c r="DE237" s="9"/>
      <c r="DH237" s="9"/>
      <c r="DK237" s="9"/>
      <c r="DN237" s="9"/>
      <c r="DQ237" s="9"/>
      <c r="DT237" s="9"/>
      <c r="DW237" s="9"/>
      <c r="DX237" s="8"/>
      <c r="DY237" s="8"/>
      <c r="DZ237" s="9"/>
      <c r="EA237" s="8"/>
      <c r="EC237" s="9"/>
      <c r="EF237" s="9"/>
      <c r="EI237" s="9"/>
      <c r="EL237" s="9"/>
      <c r="EO237" s="9"/>
      <c r="ER237" s="9"/>
      <c r="EU237" s="9"/>
      <c r="EX237" s="9"/>
      <c r="FA237" s="9"/>
      <c r="FD237" s="9"/>
      <c r="FG237" s="9"/>
      <c r="FJ237" s="9"/>
      <c r="FK237" s="8"/>
      <c r="FM237" s="9"/>
      <c r="FP237" s="9"/>
      <c r="FS237" s="9"/>
      <c r="FY237" s="9"/>
      <c r="GC237" s="8"/>
      <c r="GD237" s="8"/>
      <c r="GE237" s="9"/>
      <c r="GF237" s="8"/>
      <c r="GG237" s="8"/>
      <c r="GH237" s="9"/>
      <c r="GK237" s="9"/>
      <c r="GS237" s="8"/>
      <c r="GT237" s="8"/>
      <c r="HC237" s="9"/>
    </row>
    <row r="238" ht="15.75" customHeight="1">
      <c r="A238" s="1"/>
      <c r="D238" s="9"/>
      <c r="G238" s="9"/>
      <c r="J238" s="9"/>
      <c r="M238" s="9"/>
      <c r="P238" s="9"/>
      <c r="V238" s="9"/>
      <c r="Y238" s="9"/>
      <c r="AB238" s="9"/>
      <c r="AE238" s="9"/>
      <c r="AH238" s="9"/>
      <c r="AI238" s="10"/>
      <c r="AK238" s="9"/>
      <c r="AO238" s="23"/>
      <c r="AP238" s="23"/>
      <c r="AX238" s="24"/>
      <c r="AY238" s="24"/>
      <c r="BA238" s="8"/>
      <c r="BB238" s="8"/>
      <c r="BH238" s="23"/>
      <c r="BJ238" s="23"/>
      <c r="BK238" s="23"/>
      <c r="BM238" s="10"/>
      <c r="BN238" s="10"/>
      <c r="BP238" s="8"/>
      <c r="BQ238" s="8"/>
      <c r="BV238" s="23"/>
      <c r="BW238" s="23"/>
      <c r="BY238" s="8"/>
      <c r="BZ238" s="8"/>
      <c r="CA238" s="9"/>
      <c r="CB238" s="23"/>
      <c r="CC238" s="23"/>
      <c r="CD238" s="9"/>
      <c r="CG238" s="9"/>
      <c r="CJ238" s="9"/>
      <c r="CM238" s="9"/>
      <c r="CP238" s="9"/>
      <c r="CS238" s="9"/>
      <c r="CV238" s="9"/>
      <c r="CY238" s="9"/>
      <c r="DB238" s="9"/>
      <c r="DE238" s="9"/>
      <c r="DH238" s="9"/>
      <c r="DK238" s="9"/>
      <c r="DN238" s="9"/>
      <c r="DQ238" s="9"/>
      <c r="DT238" s="9"/>
      <c r="DW238" s="9"/>
      <c r="DX238" s="8"/>
      <c r="DY238" s="8"/>
      <c r="DZ238" s="9"/>
      <c r="EA238" s="8"/>
      <c r="EC238" s="9"/>
      <c r="EF238" s="9"/>
      <c r="EI238" s="9"/>
      <c r="EL238" s="9"/>
      <c r="EO238" s="9"/>
      <c r="ER238" s="9"/>
      <c r="EU238" s="9"/>
      <c r="EX238" s="9"/>
      <c r="FA238" s="9"/>
      <c r="FD238" s="9"/>
      <c r="FG238" s="9"/>
      <c r="FJ238" s="9"/>
      <c r="FK238" s="8"/>
      <c r="FM238" s="9"/>
      <c r="FP238" s="9"/>
      <c r="FS238" s="9"/>
      <c r="FY238" s="9"/>
      <c r="GC238" s="8"/>
      <c r="GD238" s="8"/>
      <c r="GE238" s="9"/>
      <c r="GF238" s="8"/>
      <c r="GG238" s="8"/>
      <c r="GH238" s="9"/>
      <c r="GK238" s="9"/>
      <c r="GS238" s="8"/>
      <c r="GT238" s="8"/>
      <c r="HC238" s="9"/>
    </row>
    <row r="239" ht="15.75" customHeight="1">
      <c r="A239" s="1"/>
      <c r="D239" s="9"/>
      <c r="G239" s="9"/>
      <c r="J239" s="9"/>
      <c r="M239" s="9"/>
      <c r="P239" s="9"/>
      <c r="V239" s="9"/>
      <c r="Y239" s="9"/>
      <c r="AB239" s="9"/>
      <c r="AE239" s="9"/>
      <c r="AH239" s="9"/>
      <c r="AI239" s="10"/>
      <c r="AK239" s="9"/>
      <c r="AO239" s="23"/>
      <c r="AP239" s="23"/>
      <c r="AX239" s="24"/>
      <c r="AY239" s="24"/>
      <c r="BA239" s="8"/>
      <c r="BB239" s="8"/>
      <c r="BH239" s="23"/>
      <c r="BJ239" s="23"/>
      <c r="BK239" s="23"/>
      <c r="BM239" s="10"/>
      <c r="BN239" s="10"/>
      <c r="BP239" s="8"/>
      <c r="BQ239" s="8"/>
      <c r="BV239" s="23"/>
      <c r="BW239" s="23"/>
      <c r="BY239" s="8"/>
      <c r="BZ239" s="8"/>
      <c r="CA239" s="9"/>
      <c r="CB239" s="23"/>
      <c r="CC239" s="23"/>
      <c r="CD239" s="9"/>
      <c r="CG239" s="9"/>
      <c r="CJ239" s="9"/>
      <c r="CM239" s="9"/>
      <c r="CP239" s="9"/>
      <c r="CS239" s="9"/>
      <c r="CV239" s="9"/>
      <c r="CY239" s="9"/>
      <c r="DB239" s="9"/>
      <c r="DE239" s="9"/>
      <c r="DH239" s="9"/>
      <c r="DK239" s="9"/>
      <c r="DN239" s="9"/>
      <c r="DQ239" s="9"/>
      <c r="DT239" s="9"/>
      <c r="DW239" s="9"/>
      <c r="DX239" s="8"/>
      <c r="DY239" s="8"/>
      <c r="DZ239" s="9"/>
      <c r="EA239" s="8"/>
      <c r="EC239" s="9"/>
      <c r="EF239" s="9"/>
      <c r="EI239" s="9"/>
      <c r="EL239" s="9"/>
      <c r="EO239" s="9"/>
      <c r="ER239" s="9"/>
      <c r="EU239" s="9"/>
      <c r="EX239" s="9"/>
      <c r="FA239" s="9"/>
      <c r="FD239" s="9"/>
      <c r="FG239" s="9"/>
      <c r="FJ239" s="9"/>
      <c r="FK239" s="8"/>
      <c r="FM239" s="9"/>
      <c r="FP239" s="9"/>
      <c r="FS239" s="9"/>
      <c r="FY239" s="9"/>
      <c r="GC239" s="8"/>
      <c r="GD239" s="8"/>
      <c r="GE239" s="9"/>
      <c r="GF239" s="8"/>
      <c r="GG239" s="8"/>
      <c r="GH239" s="9"/>
      <c r="GK239" s="9"/>
      <c r="GS239" s="8"/>
      <c r="GT239" s="8"/>
      <c r="HC239" s="9"/>
    </row>
    <row r="240" ht="15.75" customHeight="1">
      <c r="A240" s="1"/>
      <c r="D240" s="9"/>
      <c r="G240" s="9"/>
      <c r="J240" s="9"/>
      <c r="M240" s="9"/>
      <c r="P240" s="9"/>
      <c r="V240" s="9"/>
      <c r="Y240" s="9"/>
      <c r="AB240" s="9"/>
      <c r="AE240" s="9"/>
      <c r="AH240" s="9"/>
      <c r="AI240" s="10"/>
      <c r="AK240" s="9"/>
      <c r="AO240" s="23"/>
      <c r="AP240" s="23"/>
      <c r="AX240" s="24"/>
      <c r="AY240" s="24"/>
      <c r="BA240" s="8"/>
      <c r="BB240" s="8"/>
      <c r="BH240" s="23"/>
      <c r="BJ240" s="23"/>
      <c r="BK240" s="23"/>
      <c r="BM240" s="10"/>
      <c r="BN240" s="10"/>
      <c r="BP240" s="8"/>
      <c r="BQ240" s="8"/>
      <c r="BV240" s="23"/>
      <c r="BW240" s="23"/>
      <c r="BY240" s="8"/>
      <c r="BZ240" s="8"/>
      <c r="CA240" s="9"/>
      <c r="CB240" s="23"/>
      <c r="CC240" s="23"/>
      <c r="CD240" s="9"/>
      <c r="CG240" s="9"/>
      <c r="CJ240" s="9"/>
      <c r="CM240" s="9"/>
      <c r="CP240" s="9"/>
      <c r="CS240" s="9"/>
      <c r="CV240" s="9"/>
      <c r="CY240" s="9"/>
      <c r="DB240" s="9"/>
      <c r="DE240" s="9"/>
      <c r="DH240" s="9"/>
      <c r="DK240" s="9"/>
      <c r="DN240" s="9"/>
      <c r="DQ240" s="9"/>
      <c r="DT240" s="9"/>
      <c r="DW240" s="9"/>
      <c r="DX240" s="8"/>
      <c r="DY240" s="8"/>
      <c r="DZ240" s="9"/>
      <c r="EA240" s="8"/>
      <c r="EC240" s="9"/>
      <c r="EF240" s="9"/>
      <c r="EI240" s="9"/>
      <c r="EL240" s="9"/>
      <c r="EO240" s="9"/>
      <c r="ER240" s="9"/>
      <c r="EU240" s="9"/>
      <c r="EX240" s="9"/>
      <c r="FA240" s="9"/>
      <c r="FD240" s="9"/>
      <c r="FG240" s="9"/>
      <c r="FJ240" s="9"/>
      <c r="FK240" s="8"/>
      <c r="FM240" s="9"/>
      <c r="FP240" s="9"/>
      <c r="FS240" s="9"/>
      <c r="FY240" s="9"/>
      <c r="GC240" s="8"/>
      <c r="GD240" s="8"/>
      <c r="GE240" s="9"/>
      <c r="GF240" s="8"/>
      <c r="GG240" s="8"/>
      <c r="GH240" s="9"/>
      <c r="GK240" s="9"/>
      <c r="GS240" s="8"/>
      <c r="GT240" s="8"/>
      <c r="HC240" s="9"/>
    </row>
    <row r="241" ht="15.75" customHeight="1">
      <c r="A241" s="1"/>
      <c r="D241" s="9"/>
      <c r="G241" s="9"/>
      <c r="J241" s="9"/>
      <c r="M241" s="9"/>
      <c r="P241" s="9"/>
      <c r="V241" s="9"/>
      <c r="Y241" s="9"/>
      <c r="AB241" s="9"/>
      <c r="AE241" s="9"/>
      <c r="AH241" s="9"/>
      <c r="AI241" s="10"/>
      <c r="AK241" s="9"/>
      <c r="AO241" s="23"/>
      <c r="AP241" s="23"/>
      <c r="AX241" s="24"/>
      <c r="AY241" s="24"/>
      <c r="BA241" s="8"/>
      <c r="BB241" s="8"/>
      <c r="BH241" s="23"/>
      <c r="BJ241" s="23"/>
      <c r="BK241" s="23"/>
      <c r="BM241" s="10"/>
      <c r="BN241" s="10"/>
      <c r="BP241" s="8"/>
      <c r="BQ241" s="8"/>
      <c r="BV241" s="23"/>
      <c r="BW241" s="23"/>
      <c r="BY241" s="8"/>
      <c r="BZ241" s="8"/>
      <c r="CA241" s="9"/>
      <c r="CB241" s="23"/>
      <c r="CC241" s="23"/>
      <c r="CD241" s="9"/>
      <c r="CG241" s="9"/>
      <c r="CJ241" s="9"/>
      <c r="CM241" s="9"/>
      <c r="CP241" s="9"/>
      <c r="CS241" s="9"/>
      <c r="CV241" s="9"/>
      <c r="CY241" s="9"/>
      <c r="DB241" s="9"/>
      <c r="DE241" s="9"/>
      <c r="DH241" s="9"/>
      <c r="DK241" s="9"/>
      <c r="DN241" s="9"/>
      <c r="DQ241" s="9"/>
      <c r="DT241" s="9"/>
      <c r="DW241" s="9"/>
      <c r="DX241" s="8"/>
      <c r="DY241" s="8"/>
      <c r="DZ241" s="9"/>
      <c r="EA241" s="8"/>
      <c r="EC241" s="9"/>
      <c r="EF241" s="9"/>
      <c r="EI241" s="9"/>
      <c r="EL241" s="9"/>
      <c r="EO241" s="9"/>
      <c r="ER241" s="9"/>
      <c r="EU241" s="9"/>
      <c r="EX241" s="9"/>
      <c r="FA241" s="9"/>
      <c r="FD241" s="9"/>
      <c r="FG241" s="9"/>
      <c r="FJ241" s="9"/>
      <c r="FK241" s="8"/>
      <c r="FM241" s="9"/>
      <c r="FP241" s="9"/>
      <c r="FS241" s="9"/>
      <c r="FY241" s="9"/>
      <c r="GC241" s="8"/>
      <c r="GD241" s="8"/>
      <c r="GE241" s="9"/>
      <c r="GF241" s="8"/>
      <c r="GG241" s="8"/>
      <c r="GH241" s="9"/>
      <c r="GK241" s="9"/>
      <c r="GS241" s="8"/>
      <c r="GT241" s="8"/>
      <c r="HC241" s="9"/>
    </row>
    <row r="242" ht="15.75" customHeight="1">
      <c r="A242" s="1"/>
      <c r="D242" s="9"/>
      <c r="G242" s="9"/>
      <c r="J242" s="9"/>
      <c r="M242" s="9"/>
      <c r="P242" s="9"/>
      <c r="V242" s="9"/>
      <c r="Y242" s="9"/>
      <c r="AB242" s="9"/>
      <c r="AE242" s="9"/>
      <c r="AH242" s="9"/>
      <c r="AI242" s="10"/>
      <c r="AK242" s="9"/>
      <c r="AO242" s="23"/>
      <c r="AP242" s="23"/>
      <c r="AX242" s="24"/>
      <c r="AY242" s="24"/>
      <c r="BA242" s="8"/>
      <c r="BB242" s="8"/>
      <c r="BH242" s="23"/>
      <c r="BJ242" s="23"/>
      <c r="BK242" s="23"/>
      <c r="BM242" s="10"/>
      <c r="BN242" s="10"/>
      <c r="BP242" s="8"/>
      <c r="BQ242" s="8"/>
      <c r="BV242" s="23"/>
      <c r="BW242" s="23"/>
      <c r="BY242" s="8"/>
      <c r="BZ242" s="8"/>
      <c r="CA242" s="9"/>
      <c r="CB242" s="23"/>
      <c r="CC242" s="23"/>
      <c r="CD242" s="9"/>
      <c r="CG242" s="9"/>
      <c r="CJ242" s="9"/>
      <c r="CM242" s="9"/>
      <c r="CP242" s="9"/>
      <c r="CS242" s="9"/>
      <c r="CV242" s="9"/>
      <c r="CY242" s="9"/>
      <c r="DB242" s="9"/>
      <c r="DE242" s="9"/>
      <c r="DH242" s="9"/>
      <c r="DK242" s="9"/>
      <c r="DN242" s="9"/>
      <c r="DQ242" s="9"/>
      <c r="DT242" s="9"/>
      <c r="DW242" s="9"/>
      <c r="DX242" s="8"/>
      <c r="DY242" s="8"/>
      <c r="DZ242" s="9"/>
      <c r="EA242" s="8"/>
      <c r="EC242" s="9"/>
      <c r="EF242" s="9"/>
      <c r="EI242" s="9"/>
      <c r="EL242" s="9"/>
      <c r="EO242" s="9"/>
      <c r="ER242" s="9"/>
      <c r="EU242" s="9"/>
      <c r="EX242" s="9"/>
      <c r="FA242" s="9"/>
      <c r="FD242" s="9"/>
      <c r="FG242" s="9"/>
      <c r="FJ242" s="9"/>
      <c r="FK242" s="8"/>
      <c r="FM242" s="9"/>
      <c r="FP242" s="9"/>
      <c r="FS242" s="9"/>
      <c r="FY242" s="9"/>
      <c r="GC242" s="8"/>
      <c r="GD242" s="8"/>
      <c r="GE242" s="9"/>
      <c r="GF242" s="8"/>
      <c r="GG242" s="8"/>
      <c r="GH242" s="9"/>
      <c r="GK242" s="9"/>
      <c r="GS242" s="8"/>
      <c r="GT242" s="8"/>
      <c r="HC242" s="9"/>
    </row>
    <row r="243" ht="15.75" customHeight="1">
      <c r="A243" s="1"/>
      <c r="D243" s="9"/>
      <c r="G243" s="9"/>
      <c r="J243" s="9"/>
      <c r="M243" s="9"/>
      <c r="P243" s="9"/>
      <c r="V243" s="9"/>
      <c r="Y243" s="9"/>
      <c r="AB243" s="9"/>
      <c r="AE243" s="9"/>
      <c r="AH243" s="9"/>
      <c r="AI243" s="10"/>
      <c r="AK243" s="9"/>
      <c r="AO243" s="23"/>
      <c r="AP243" s="23"/>
      <c r="AX243" s="24"/>
      <c r="AY243" s="24"/>
      <c r="BA243" s="8"/>
      <c r="BB243" s="8"/>
      <c r="BH243" s="23"/>
      <c r="BJ243" s="23"/>
      <c r="BK243" s="23"/>
      <c r="BM243" s="10"/>
      <c r="BN243" s="10"/>
      <c r="BP243" s="8"/>
      <c r="BQ243" s="8"/>
      <c r="BV243" s="23"/>
      <c r="BW243" s="23"/>
      <c r="BY243" s="8"/>
      <c r="BZ243" s="8"/>
      <c r="CA243" s="9"/>
      <c r="CB243" s="23"/>
      <c r="CC243" s="23"/>
      <c r="CD243" s="9"/>
      <c r="CG243" s="9"/>
      <c r="CJ243" s="9"/>
      <c r="CM243" s="9"/>
      <c r="CP243" s="9"/>
      <c r="CS243" s="9"/>
      <c r="CV243" s="9"/>
      <c r="CY243" s="9"/>
      <c r="DB243" s="9"/>
      <c r="DE243" s="9"/>
      <c r="DH243" s="9"/>
      <c r="DK243" s="9"/>
      <c r="DN243" s="9"/>
      <c r="DQ243" s="9"/>
      <c r="DT243" s="9"/>
      <c r="DW243" s="9"/>
      <c r="DX243" s="8"/>
      <c r="DY243" s="8"/>
      <c r="DZ243" s="9"/>
      <c r="EA243" s="8"/>
      <c r="EC243" s="9"/>
      <c r="EF243" s="9"/>
      <c r="EI243" s="9"/>
      <c r="EL243" s="9"/>
      <c r="EO243" s="9"/>
      <c r="ER243" s="9"/>
      <c r="EU243" s="9"/>
      <c r="EX243" s="9"/>
      <c r="FA243" s="9"/>
      <c r="FD243" s="9"/>
      <c r="FG243" s="9"/>
      <c r="FJ243" s="9"/>
      <c r="FK243" s="8"/>
      <c r="FM243" s="9"/>
      <c r="FP243" s="9"/>
      <c r="FS243" s="9"/>
      <c r="FY243" s="9"/>
      <c r="GC243" s="8"/>
      <c r="GD243" s="8"/>
      <c r="GE243" s="9"/>
      <c r="GF243" s="8"/>
      <c r="GG243" s="8"/>
      <c r="GH243" s="9"/>
      <c r="GK243" s="9"/>
      <c r="GS243" s="8"/>
      <c r="GT243" s="8"/>
      <c r="HC243" s="9"/>
    </row>
    <row r="244" ht="15.75" customHeight="1">
      <c r="A244" s="1"/>
      <c r="D244" s="9"/>
      <c r="G244" s="9"/>
      <c r="J244" s="9"/>
      <c r="M244" s="9"/>
      <c r="P244" s="9"/>
      <c r="V244" s="9"/>
      <c r="Y244" s="9"/>
      <c r="AB244" s="9"/>
      <c r="AE244" s="9"/>
      <c r="AH244" s="9"/>
      <c r="AI244" s="10"/>
      <c r="AK244" s="9"/>
      <c r="AO244" s="23"/>
      <c r="AP244" s="23"/>
      <c r="AX244" s="24"/>
      <c r="AY244" s="24"/>
      <c r="BA244" s="8"/>
      <c r="BB244" s="8"/>
      <c r="BH244" s="23"/>
      <c r="BJ244" s="23"/>
      <c r="BK244" s="23"/>
      <c r="BM244" s="10"/>
      <c r="BN244" s="10"/>
      <c r="BP244" s="8"/>
      <c r="BQ244" s="8"/>
      <c r="BV244" s="23"/>
      <c r="BW244" s="23"/>
      <c r="BY244" s="8"/>
      <c r="BZ244" s="8"/>
      <c r="CA244" s="9"/>
      <c r="CB244" s="23"/>
      <c r="CC244" s="23"/>
      <c r="CD244" s="9"/>
      <c r="CG244" s="9"/>
      <c r="CJ244" s="9"/>
      <c r="CM244" s="9"/>
      <c r="CP244" s="9"/>
      <c r="CS244" s="9"/>
      <c r="CV244" s="9"/>
      <c r="CY244" s="9"/>
      <c r="DB244" s="9"/>
      <c r="DE244" s="9"/>
      <c r="DH244" s="9"/>
      <c r="DK244" s="9"/>
      <c r="DN244" s="9"/>
      <c r="DQ244" s="9"/>
      <c r="DT244" s="9"/>
      <c r="DW244" s="9"/>
      <c r="DX244" s="8"/>
      <c r="DY244" s="8"/>
      <c r="DZ244" s="9"/>
      <c r="EA244" s="8"/>
      <c r="EC244" s="9"/>
      <c r="EF244" s="9"/>
      <c r="EI244" s="9"/>
      <c r="EL244" s="9"/>
      <c r="EO244" s="9"/>
      <c r="ER244" s="9"/>
      <c r="EU244" s="9"/>
      <c r="EX244" s="9"/>
      <c r="FA244" s="9"/>
      <c r="FD244" s="9"/>
      <c r="FG244" s="9"/>
      <c r="FJ244" s="9"/>
      <c r="FK244" s="8"/>
      <c r="FM244" s="9"/>
      <c r="FP244" s="9"/>
      <c r="FS244" s="9"/>
      <c r="FY244" s="9"/>
      <c r="GC244" s="8"/>
      <c r="GD244" s="8"/>
      <c r="GE244" s="9"/>
      <c r="GF244" s="8"/>
      <c r="GG244" s="8"/>
      <c r="GH244" s="9"/>
      <c r="GK244" s="9"/>
      <c r="GS244" s="8"/>
      <c r="GT244" s="8"/>
      <c r="HC244" s="9"/>
    </row>
    <row r="245" ht="15.75" customHeight="1">
      <c r="A245" s="1"/>
      <c r="D245" s="9"/>
      <c r="G245" s="9"/>
      <c r="J245" s="9"/>
      <c r="M245" s="9"/>
      <c r="P245" s="9"/>
      <c r="V245" s="9"/>
      <c r="Y245" s="9"/>
      <c r="AB245" s="9"/>
      <c r="AE245" s="9"/>
      <c r="AH245" s="9"/>
      <c r="AI245" s="10"/>
      <c r="AK245" s="9"/>
      <c r="AO245" s="23"/>
      <c r="AP245" s="23"/>
      <c r="AX245" s="24"/>
      <c r="AY245" s="24"/>
      <c r="BA245" s="8"/>
      <c r="BB245" s="8"/>
      <c r="BH245" s="23"/>
      <c r="BJ245" s="23"/>
      <c r="BK245" s="23"/>
      <c r="BM245" s="10"/>
      <c r="BN245" s="10"/>
      <c r="BP245" s="8"/>
      <c r="BQ245" s="8"/>
      <c r="BV245" s="23"/>
      <c r="BW245" s="23"/>
      <c r="BY245" s="8"/>
      <c r="BZ245" s="8"/>
      <c r="CA245" s="9"/>
      <c r="CB245" s="23"/>
      <c r="CC245" s="23"/>
      <c r="CD245" s="9"/>
      <c r="CG245" s="9"/>
      <c r="CJ245" s="9"/>
      <c r="CM245" s="9"/>
      <c r="CP245" s="9"/>
      <c r="CS245" s="9"/>
      <c r="CV245" s="9"/>
      <c r="CY245" s="9"/>
      <c r="DB245" s="9"/>
      <c r="DE245" s="9"/>
      <c r="DH245" s="9"/>
      <c r="DK245" s="9"/>
      <c r="DN245" s="9"/>
      <c r="DQ245" s="9"/>
      <c r="DT245" s="9"/>
      <c r="DW245" s="9"/>
      <c r="DX245" s="8"/>
      <c r="DY245" s="8"/>
      <c r="DZ245" s="9"/>
      <c r="EA245" s="8"/>
      <c r="EC245" s="9"/>
      <c r="EF245" s="9"/>
      <c r="EI245" s="9"/>
      <c r="EL245" s="9"/>
      <c r="EO245" s="9"/>
      <c r="ER245" s="9"/>
      <c r="EU245" s="9"/>
      <c r="EX245" s="9"/>
      <c r="FA245" s="9"/>
      <c r="FD245" s="9"/>
      <c r="FG245" s="9"/>
      <c r="FJ245" s="9"/>
      <c r="FK245" s="8"/>
      <c r="FM245" s="9"/>
      <c r="FP245" s="9"/>
      <c r="FS245" s="9"/>
      <c r="FY245" s="9"/>
      <c r="GC245" s="8"/>
      <c r="GD245" s="8"/>
      <c r="GE245" s="9"/>
      <c r="GF245" s="8"/>
      <c r="GG245" s="8"/>
      <c r="GH245" s="9"/>
      <c r="GK245" s="9"/>
      <c r="GS245" s="8"/>
      <c r="GT245" s="8"/>
      <c r="HC245" s="9"/>
    </row>
    <row r="246" ht="15.75" customHeight="1">
      <c r="A246" s="1"/>
      <c r="D246" s="9"/>
      <c r="G246" s="9"/>
      <c r="J246" s="9"/>
      <c r="M246" s="9"/>
      <c r="P246" s="9"/>
      <c r="V246" s="9"/>
      <c r="Y246" s="9"/>
      <c r="AB246" s="9"/>
      <c r="AE246" s="9"/>
      <c r="AH246" s="9"/>
      <c r="AI246" s="10"/>
      <c r="AK246" s="9"/>
      <c r="AO246" s="23"/>
      <c r="AP246" s="23"/>
      <c r="AX246" s="24"/>
      <c r="AY246" s="24"/>
      <c r="BA246" s="8"/>
      <c r="BB246" s="8"/>
      <c r="BH246" s="23"/>
      <c r="BJ246" s="23"/>
      <c r="BK246" s="23"/>
      <c r="BM246" s="10"/>
      <c r="BN246" s="10"/>
      <c r="BP246" s="8"/>
      <c r="BQ246" s="8"/>
      <c r="BV246" s="23"/>
      <c r="BW246" s="23"/>
      <c r="BY246" s="8"/>
      <c r="BZ246" s="8"/>
      <c r="CA246" s="9"/>
      <c r="CB246" s="23"/>
      <c r="CC246" s="23"/>
      <c r="CD246" s="9"/>
      <c r="CG246" s="9"/>
      <c r="CJ246" s="9"/>
      <c r="CM246" s="9"/>
      <c r="CP246" s="9"/>
      <c r="CS246" s="9"/>
      <c r="CV246" s="9"/>
      <c r="CY246" s="9"/>
      <c r="DB246" s="9"/>
      <c r="DE246" s="9"/>
      <c r="DH246" s="9"/>
      <c r="DK246" s="9"/>
      <c r="DN246" s="9"/>
      <c r="DQ246" s="9"/>
      <c r="DT246" s="9"/>
      <c r="DW246" s="9"/>
      <c r="DX246" s="8"/>
      <c r="DY246" s="8"/>
      <c r="DZ246" s="9"/>
      <c r="EA246" s="8"/>
      <c r="EC246" s="9"/>
      <c r="EF246" s="9"/>
      <c r="EI246" s="9"/>
      <c r="EL246" s="9"/>
      <c r="EO246" s="9"/>
      <c r="ER246" s="9"/>
      <c r="EU246" s="9"/>
      <c r="EX246" s="9"/>
      <c r="FA246" s="9"/>
      <c r="FD246" s="9"/>
      <c r="FG246" s="9"/>
      <c r="FJ246" s="9"/>
      <c r="FK246" s="8"/>
      <c r="FM246" s="9"/>
      <c r="FP246" s="9"/>
      <c r="FS246" s="9"/>
      <c r="FY246" s="9"/>
      <c r="GC246" s="8"/>
      <c r="GD246" s="8"/>
      <c r="GE246" s="9"/>
      <c r="GF246" s="8"/>
      <c r="GG246" s="8"/>
      <c r="GH246" s="9"/>
      <c r="GK246" s="9"/>
      <c r="GS246" s="8"/>
      <c r="GT246" s="8"/>
      <c r="HC246" s="9"/>
    </row>
    <row r="247" ht="15.75" customHeight="1">
      <c r="A247" s="1"/>
      <c r="D247" s="9"/>
      <c r="G247" s="9"/>
      <c r="J247" s="9"/>
      <c r="M247" s="9"/>
      <c r="P247" s="9"/>
      <c r="V247" s="9"/>
      <c r="Y247" s="9"/>
      <c r="AB247" s="9"/>
      <c r="AE247" s="9"/>
      <c r="AH247" s="9"/>
      <c r="AI247" s="10"/>
      <c r="AK247" s="9"/>
      <c r="AO247" s="23"/>
      <c r="AP247" s="23"/>
      <c r="AX247" s="24"/>
      <c r="AY247" s="24"/>
      <c r="BA247" s="8"/>
      <c r="BB247" s="8"/>
      <c r="BH247" s="23"/>
      <c r="BJ247" s="23"/>
      <c r="BK247" s="23"/>
      <c r="BM247" s="10"/>
      <c r="BN247" s="10"/>
      <c r="BP247" s="8"/>
      <c r="BQ247" s="8"/>
      <c r="BV247" s="23"/>
      <c r="BW247" s="23"/>
      <c r="BY247" s="8"/>
      <c r="BZ247" s="8"/>
      <c r="CA247" s="9"/>
      <c r="CB247" s="23"/>
      <c r="CC247" s="23"/>
      <c r="CD247" s="9"/>
      <c r="CG247" s="9"/>
      <c r="CJ247" s="9"/>
      <c r="CM247" s="9"/>
      <c r="CP247" s="9"/>
      <c r="CS247" s="9"/>
      <c r="CV247" s="9"/>
      <c r="CY247" s="9"/>
      <c r="DB247" s="9"/>
      <c r="DE247" s="9"/>
      <c r="DH247" s="9"/>
      <c r="DK247" s="9"/>
      <c r="DN247" s="9"/>
      <c r="DQ247" s="9"/>
      <c r="DT247" s="9"/>
      <c r="DW247" s="9"/>
      <c r="DX247" s="8"/>
      <c r="DY247" s="8"/>
      <c r="DZ247" s="9"/>
      <c r="EA247" s="8"/>
      <c r="EC247" s="9"/>
      <c r="EF247" s="9"/>
      <c r="EI247" s="9"/>
      <c r="EL247" s="9"/>
      <c r="EO247" s="9"/>
      <c r="ER247" s="9"/>
      <c r="EU247" s="9"/>
      <c r="EX247" s="9"/>
      <c r="FA247" s="9"/>
      <c r="FD247" s="9"/>
      <c r="FG247" s="9"/>
      <c r="FJ247" s="9"/>
      <c r="FK247" s="8"/>
      <c r="FM247" s="9"/>
      <c r="FP247" s="9"/>
      <c r="FS247" s="9"/>
      <c r="FY247" s="9"/>
      <c r="GC247" s="8"/>
      <c r="GD247" s="8"/>
      <c r="GE247" s="9"/>
      <c r="GF247" s="8"/>
      <c r="GG247" s="8"/>
      <c r="GH247" s="9"/>
      <c r="GK247" s="9"/>
      <c r="GS247" s="8"/>
      <c r="GT247" s="8"/>
      <c r="HC247" s="9"/>
    </row>
  </sheetData>
  <mergeCells count="70">
    <mergeCell ref="ES1:EU1"/>
    <mergeCell ref="EV1:EX1"/>
    <mergeCell ref="EY1:FA1"/>
    <mergeCell ref="FB1:FD1"/>
    <mergeCell ref="FE1:FG1"/>
    <mergeCell ref="FH1:FJ1"/>
    <mergeCell ref="FK1:FM1"/>
    <mergeCell ref="GI1:GK1"/>
    <mergeCell ref="GL1:GN1"/>
    <mergeCell ref="GO1:GQ1"/>
    <mergeCell ref="GR1:GT1"/>
    <mergeCell ref="GU1:GW1"/>
    <mergeCell ref="GX1:GZ1"/>
    <mergeCell ref="HA1:HC1"/>
    <mergeCell ref="FN1:FP1"/>
    <mergeCell ref="FQ1:FS1"/>
    <mergeCell ref="FT1:FV1"/>
    <mergeCell ref="FW1:FY1"/>
    <mergeCell ref="FZ1:GB1"/>
    <mergeCell ref="GC1:GE1"/>
    <mergeCell ref="GF1:GH1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EM1:EO1"/>
    <mergeCell ref="EP1:ER1"/>
  </mergeCells>
  <drawing r:id="rId2"/>
  <legacyDrawing r:id="rId3"/>
</worksheet>
</file>